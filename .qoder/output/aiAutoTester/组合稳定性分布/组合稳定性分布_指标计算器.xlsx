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指标计算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<sst xmlns="http://schemas.openxmlformats.org/spreadsheetml/2006/main" count="68" uniqueCount="68">
  <si>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组合稳定性分布图 — 指标计算器(基于需求口径)</t>
  </si>
  <si>
    <t>N = 策略模型数 × 负荷模型数 (12×15=180个组合)</t>
  </si>
  <si>
    <t>z = 置信系数 (95%取1.96，常用近似1)</t>
  </si>
  <si>
    <t>区间天数 D = len(dailyDataList) 完整区间日(含无数据日)，禁止用有实际收益的天数</t>
  </si>
  <si>
    <t>← 覆盖率的分母</t>
  </si>
  <si>
    <t>指标计算区(输入日期/排名/收益后自动计算)</t>
  </si>
  <si>
    <t>有效天数 T</t>
  </si>
  <si>
    <t>策略收益≠0且非空、且实际收益数据存在的天数(考核数据与实际收益数据为两套数据,但存在性判定等价)</t>
  </si>
  <si>
    <t>胜天数 W</t>
  </si>
  <si>
    <t>当日策略收益&gt;实际收益(基准)的天数</t>
  </si>
  <si>
    <t>平均排名 μ</t>
  </si>
  <si>
    <t>仅统计有效天(B列非空;无效天r留空不参与μ)，需求口径下参与天数=T</t>
  </si>
  <si>
    <t>排名波动 σ</t>
  </si>
  <si>
    <t>总体标准差,仅统计有效天</t>
  </si>
  <si>
    <t>topK</t>
  </si>
  <si>
    <t>N×10%</t>
  </si>
  <si>
    <t>前10%率</t>
  </si>
  <si>
    <t>排名≤topK 的天 ÷ 有效天数T(=参与天数)</t>
  </si>
  <si>
    <t>爆雷率</t>
  </si>
  <si>
    <t>排名&gt; N−topK 的天 ÷ 有效天数T(=参与天数)</t>
  </si>
  <si>
    <t>悲观排名（LCB）</t>
  </si>
  <si>
    <t>μ+z·σ/√T(z=B3=1)，越小越好；对齐spot_review.js:879</t>
  </si>
  <si>
    <t>胜率</t>
  </si>
  <si>
    <t>W÷T</t>
  </si>
  <si>
    <t>覆盖率</t>
  </si>
  <si>
    <t>T÷区间天数D(B4)，分母不可用有实际收益的天数</t>
  </si>
  <si>
    <t>综合评价标签</t>
  </si>
  <si>
    <t>表现中等</t>
  </si>
  <si>
    <t>分位线与值</t>
  </si>
  <si>
    <t>P10(63.8)/P35(78.5)/P65(93.9)/P90(118.2)</t>
  </si>
  <si>
    <t>日期</t>
  </si>
  <si>
    <t>每日排名 r</t>
  </si>
  <si>
    <t>策略收益(万)</t>
  </si>
  <si>
    <t>实际收益(万)</t>
  </si>
  <si>
    <t>有效天标志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</si>
  <si>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</si>
  <si>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</si>
  <si>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</si>
  <si>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</si>
  <si>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</si>
  <si>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</si>
  <si>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</si>
  <si>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</si>
  <si>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</si>
  <si>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</si>
  <si>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</si>
  <si>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</si>
  <si>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</si>
  <si>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</si>
  <si>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</si>
  <si>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</si>
  <si>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</si>
  <si>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</si>
  <si>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</si>
  <si>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</si>
  <si>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</si>
  <si>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</si>
  <si>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</si>
  <si>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</si>
  <si>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</si>
  <si>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</si>
  <si>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</si>
  <si>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</si>
  <si>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</si>
  <si>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</si>
  <si>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</si>
  <si>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口径说明</t>
  </si>
  <si>
    <t>1. 有效天数=策略收益≠0且非空、且实际收益数据存在的天数(考核数据与实际收益数据为两套数据,但存在性判定等价)。无效天=策略收益为空/0，或实际收益(考核)数据缺失。
2. 每日排名参与口径=有效天(即参与天数=T)；当日参与组合按策略收益降序稳定排序，名次=位置序号，并列按报文顺序取相邻名次；无效天(如收益缺失日/无实际收益日)不参与排名、r留空。
3. 无效天示例(高亮行47-49)：2026-08-18(实际收益缺失)；2026-08-19(策略收益键缺失)；2026-08-20(策略收益键缺失)
4. 区间天数D(B4)=len(dailyDataList)=31，覆盖率分母=D；本表有实际收益的天数A=28，若误用A做分母覆盖率虚高为28/28=100.0%(正确值90.3%)
5. 胜天=当日策略收益&gt;实际收益(基准)；胜率=W÷T。
6. σ为总体标准差STDEV.P；μ/σ仅统计有效天(B列非空;参与天数=T)；LCB(悲观排名)=μ+z·σ/√T(z=B3=1)，越小越好(对齐前端879行)。
7. 修改B2(组合总数)、B3(z)、B4(区间天数D)后所有指标自动重算；数据区最多31行。
8. 本表A-D列取自真实报文组合“太乙-七天前实际负荷 × 综合模型”(2026-07-21~2026-08-20)，C/D列=报文原值÷10000(单位:万)；B列每日排名按requirement口径计算(当日收益降序、并列按报文顺序取相邻名次)；报文基准validDays=28/winDays=17/winRate=0.6071/coverage=0.9032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</si>
</sst>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"/>
  </numFmts>
  <fonts count="25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8" borderId="4">
      <alignment vertical="center"/>
    </xf>
    <xf numFmtId="0" fontId="15" fillId="9" borderId="5">
      <alignment vertical="center"/>
    </xf>
    <xf numFmtId="0" fontId="16" fillId="9" borderId="4">
      <alignment vertical="center"/>
    </xf>
    <xf numFmtId="0" fontId="17" fillId="1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176" fontId="0" fillId="0" borderId="0" xfId="0" applyNumberFormat="1"/>
    <xf numFmtId="0" fontId="4" fillId="0" borderId="0" xfId="0" applyFont="1"/>
    <xf numFmtId="176" fontId="0" fillId="0" borderId="0" xfId="0" applyNumberFormat="1" applyAlignment="1">
      <alignment horizontal="right"/>
    </xf>
    <xf numFmtId="176" fontId="0" fillId="0" borderId="0" xfId="0" applyNumberFormat="1" applyAlignment="1">
      <alignment horizontal="left"/>
    </xf>
    <xf numFmtId="0" fontId="5" fillId="5" borderId="0" xfId="0" applyFont="1" applyFill="1" applyAlignment="1">
      <alignment horizontal="center" vertical="center"/>
    </xf>
    <xf numFmtId="177" fontId="0" fillId="0" borderId="0" xfId="0" applyNumberFormat="1"/>
    <xf numFmtId="0" fontId="0" fillId="6" borderId="0" xfId="0" applyFill="1"/>
    <xf numFmtId="177" fontId="0" fillId="6" borderId="0" xfId="0" applyNumberFormat="1" applyFill="1"/>
    <xf numFmtId="0" fontId="2" fillId="0" borderId="0" xfId="0" applyFont="1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abSelected="1" workbookViewId="0">
      <selection activeCell="J20" sqref="J20"/>
    </sheetView>
  </sheetViews>
  <sheetFormatPr defaultColWidth="9" defaultRowHeight="13.5"/>
  <cols>
    <col min="1" max="1" width="55.25" customWidth="1"/>
    <col min="2" max="2" width="30.875" customWidth="1"/>
    <col min="3" max="4" width="16" customWidth="1"/>
    <col min="5" max="5" width="10" customWidth="1"/>
  </cols>
  <sheetData>
    <row r="1" ht="45" customHeight="1" spans="1:1">
      <c r="A1" s="1" t="s">
        <v>0</v>
      </c>
    </row>
    <row r="2" spans="1:2">
      <c r="A2" t="s">
        <v>1</v>
      </c>
      <c r="B2" s="2">
        <v>180</v>
      </c>
    </row>
    <row r="3" spans="1:2">
      <c r="A3" t="s">
        <v>2</v>
      </c>
      <c r="B3" s="2">
        <v>1</v>
      </c>
    </row>
    <row r="4" spans="1:3">
      <c r="A4" t="s">
        <v>3</v>
      </c>
      <c r="B4" s="2">
        <v>31</v>
      </c>
      <c r="C4" s="2" t="s">
        <v>4</v>
      </c>
    </row>
    <row r="5" ht="22.5" customHeight="1" spans="1:1">
      <c r="A5" s="3" t="s">
        <v>5</v>
      </c>
    </row>
    <row r="6" spans="1:12">
      <c r="A6" s="4" t="s">
        <v>6</v>
      </c>
      <c r="B6">
        <f>SUM(E19:E49)</f>
        <v>28</v>
      </c>
      <c r="C6" t="s">
        <v>7</v>
      </c>
      <c r="L6">
        <f>COUNTIF(B19:B49,"&gt;0")</f>
        <v>28</v>
      </c>
    </row>
    <row r="7" spans="1:3">
      <c r="A7" s="4" t="s">
        <v>8</v>
      </c>
      <c r="B7">
        <f>SUMPRODUCT((C19:C49&gt;D19:D49)*(E19:E49=1))</f>
        <v>17</v>
      </c>
      <c r="C7" t="s">
        <v>9</v>
      </c>
    </row>
    <row r="8" spans="1:3">
      <c r="A8" s="4" t="s">
        <v>10</v>
      </c>
      <c r="B8">
        <f>IFERROR(ROUND(AVERAGE(B19:B49),2),"-")</f>
        <v>71.57</v>
      </c>
      <c r="C8" t="s">
        <v>11</v>
      </c>
    </row>
    <row r="9" spans="1:3">
      <c r="A9" s="4" t="s">
        <v>12</v>
      </c>
      <c r="B9">
        <f>IFERROR(ROUND(STDEV.P(B19:B49),2),"-")</f>
        <v>49.37</v>
      </c>
      <c r="C9" t="s">
        <v>13</v>
      </c>
    </row>
    <row r="10" spans="1:3">
      <c r="A10" s="4" t="s">
        <v>14</v>
      </c>
      <c r="B10">
        <f>ROUND(B2*10%,0)</f>
        <v>18</v>
      </c>
      <c r="C10" t="s">
        <v>15</v>
      </c>
    </row>
    <row r="11" spans="1:6">
      <c r="A11" s="4" t="s">
        <v>16</v>
      </c>
      <c r="B11" s="5">
        <f t="array" ref="B11">IFERROR(SUMPRODUCT((B19:B49&gt;0)*(B19:B49&lt;=B10))/B6,"-")</f>
        <v>0.25</v>
      </c>
      <c r="C11" t="s">
        <v>17</v>
      </c>
      <c r="F11" s="6">
        <f t="array" ref="F11">SUMPRODUCT((B19:B49&gt;0)*(B19:B49&lt;=B10))</f>
        <v>7</v>
      </c>
    </row>
    <row r="12" spans="1:3">
      <c r="A12" s="4" t="s">
        <v>18</v>
      </c>
      <c r="B12" s="5">
        <f t="array" ref="B12">IFERROR(SUMPRODUCT((B19:B49&gt;B2-B10))/B6,"-")</f>
        <v>0</v>
      </c>
      <c r="C12" t="s">
        <v>19</v>
      </c>
    </row>
    <row r="13" spans="1:3">
      <c r="A13" s="4" t="s">
        <v>20</v>
      </c>
      <c r="B13">
        <f>IFERROR(ROUND(B8+B9*B3/SQRT(B6),2),"-")</f>
        <v>80.9</v>
      </c>
      <c r="C13" t="s">
        <v>21</v>
      </c>
    </row>
    <row r="14" spans="1:3">
      <c r="A14" s="4" t="s">
        <v>22</v>
      </c>
      <c r="B14" s="5">
        <f>IFERROR(B7/B6,"-")</f>
        <v>0.607142857142857</v>
      </c>
      <c r="C14" t="s">
        <v>23</v>
      </c>
    </row>
    <row r="15" spans="1:3">
      <c r="A15" s="4" t="s">
        <v>24</v>
      </c>
      <c r="B15" s="5">
        <f>IFERROR(B6/B4,"-")</f>
        <v>0.903225806451613</v>
      </c>
      <c r="C15" t="s">
        <v>25</v>
      </c>
    </row>
    <row r="16" spans="1:2">
      <c r="A16" s="4" t="s">
        <v>26</v>
      </c>
      <c r="B16" s="7" t="s">
        <v>27</v>
      </c>
    </row>
    <row r="17" spans="1:2">
      <c r="A17" s="4" t="s">
        <v>28</v>
      </c>
      <c r="B17" s="8" t="s">
        <v>29</v>
      </c>
    </row>
    <row r="18" spans="1:5">
      <c r="A18" s="9" t="s">
        <v>30</v>
      </c>
      <c r="B18" s="9" t="s">
        <v>31</v>
      </c>
      <c r="C18" s="9" t="s">
        <v>32</v>
      </c>
      <c r="D18" s="9" t="s">
        <v>33</v>
      </c>
      <c r="E18" s="9" t="s">
        <v>34</v>
      </c>
    </row>
    <row r="19" spans="1:5">
      <c r="A19" t="s">
        <v>35</v>
      </c>
      <c r="B19">
        <v>66</v>
      </c>
      <c r="C19" s="10">
        <v>0.030045</v>
      </c>
      <c r="D19" s="10">
        <v>0.02097</v>
      </c>
      <c r="E19">
        <f t="shared" ref="E19:E49" si="0">IF(AND(B19&lt;&gt;"",C19&lt;&gt;"",C19&lt;&gt;0,D19&lt;&gt;""),1,0)</f>
        <v>1</v>
      </c>
    </row>
    <row r="20" spans="1:5">
      <c r="A20" t="s">
        <v>36</v>
      </c>
      <c r="B20">
        <v>51</v>
      </c>
      <c r="C20" s="10">
        <v>0.138428</v>
      </c>
      <c r="D20" s="10">
        <v>-0.091779</v>
      </c>
      <c r="E20">
        <f t="shared" si="0"/>
        <v>1</v>
      </c>
    </row>
    <row r="21" spans="1:5">
      <c r="A21" t="s">
        <v>37</v>
      </c>
      <c r="B21">
        <v>37</v>
      </c>
      <c r="C21" s="10">
        <v>0.014223</v>
      </c>
      <c r="D21" s="10">
        <v>-0.008841</v>
      </c>
      <c r="E21">
        <f t="shared" si="0"/>
        <v>1</v>
      </c>
    </row>
    <row r="22" spans="1:5">
      <c r="A22" t="s">
        <v>38</v>
      </c>
      <c r="B22">
        <v>72</v>
      </c>
      <c r="C22" s="10">
        <v>0.03507</v>
      </c>
      <c r="D22" s="10">
        <v>0.020911</v>
      </c>
      <c r="E22">
        <f t="shared" si="0"/>
        <v>1</v>
      </c>
    </row>
    <row r="23" spans="1:5">
      <c r="A23" t="s">
        <v>39</v>
      </c>
      <c r="B23">
        <v>66</v>
      </c>
      <c r="C23" s="10">
        <v>-0.03692</v>
      </c>
      <c r="D23" s="10">
        <v>-0.014104</v>
      </c>
      <c r="E23">
        <f t="shared" si="0"/>
        <v>1</v>
      </c>
    </row>
    <row r="24" spans="1:5">
      <c r="A24" t="s">
        <v>40</v>
      </c>
      <c r="B24">
        <v>128</v>
      </c>
      <c r="C24" s="10">
        <v>0.025906</v>
      </c>
      <c r="D24" s="10">
        <v>0.024279</v>
      </c>
      <c r="E24">
        <f t="shared" si="0"/>
        <v>1</v>
      </c>
    </row>
    <row r="25" spans="1:5">
      <c r="A25" t="s">
        <v>41</v>
      </c>
      <c r="B25">
        <v>118</v>
      </c>
      <c r="C25" s="10">
        <v>0.030081</v>
      </c>
      <c r="D25" s="10">
        <v>0.004063</v>
      </c>
      <c r="E25">
        <f t="shared" si="0"/>
        <v>1</v>
      </c>
    </row>
    <row r="26" spans="1:5">
      <c r="A26" t="s">
        <v>42</v>
      </c>
      <c r="B26">
        <v>71</v>
      </c>
      <c r="C26" s="10">
        <v>0.06353</v>
      </c>
      <c r="D26" s="10">
        <v>0.006764</v>
      </c>
      <c r="E26">
        <f t="shared" si="0"/>
        <v>1</v>
      </c>
    </row>
    <row r="27" spans="1:5">
      <c r="A27" t="s">
        <v>43</v>
      </c>
      <c r="B27">
        <v>40</v>
      </c>
      <c r="C27" s="10">
        <v>0.030731</v>
      </c>
      <c r="D27" s="10">
        <v>0.03195</v>
      </c>
      <c r="E27">
        <f t="shared" si="0"/>
        <v>1</v>
      </c>
    </row>
    <row r="28" spans="1:5">
      <c r="A28" t="s">
        <v>44</v>
      </c>
      <c r="B28">
        <v>116</v>
      </c>
      <c r="C28" s="10">
        <v>0.032767</v>
      </c>
      <c r="D28" s="10">
        <v>0.00276</v>
      </c>
      <c r="E28">
        <f t="shared" si="0"/>
        <v>1</v>
      </c>
    </row>
    <row r="29" spans="1:5">
      <c r="A29" t="s">
        <v>45</v>
      </c>
      <c r="B29">
        <v>63</v>
      </c>
      <c r="C29" s="10">
        <v>0.037561</v>
      </c>
      <c r="D29" s="10">
        <v>0.052616</v>
      </c>
      <c r="E29">
        <f t="shared" si="0"/>
        <v>1</v>
      </c>
    </row>
    <row r="30" spans="1:5">
      <c r="A30" t="s">
        <v>46</v>
      </c>
      <c r="B30">
        <v>128</v>
      </c>
      <c r="C30" s="10">
        <v>-0.030307</v>
      </c>
      <c r="D30" s="10">
        <v>-0.001786</v>
      </c>
      <c r="E30">
        <f t="shared" si="0"/>
        <v>1</v>
      </c>
    </row>
    <row r="31" spans="1:5">
      <c r="A31" t="s">
        <v>47</v>
      </c>
      <c r="B31">
        <v>138</v>
      </c>
      <c r="C31" s="10">
        <v>-0.006275</v>
      </c>
      <c r="D31" s="10">
        <v>0.018216</v>
      </c>
      <c r="E31">
        <f t="shared" si="0"/>
        <v>1</v>
      </c>
    </row>
    <row r="32" spans="1:5">
      <c r="A32" t="s">
        <v>48</v>
      </c>
      <c r="B32">
        <v>15</v>
      </c>
      <c r="C32" s="10">
        <v>-0.012107</v>
      </c>
      <c r="D32" s="10">
        <v>-0.012637</v>
      </c>
      <c r="E32">
        <f t="shared" si="0"/>
        <v>1</v>
      </c>
    </row>
    <row r="33" spans="1:5">
      <c r="A33" t="s">
        <v>49</v>
      </c>
      <c r="B33">
        <v>17</v>
      </c>
      <c r="C33" s="10">
        <v>-0.029857</v>
      </c>
      <c r="D33" s="10">
        <v>-0.029151</v>
      </c>
      <c r="E33">
        <f t="shared" si="0"/>
        <v>1</v>
      </c>
    </row>
    <row r="34" spans="1:5">
      <c r="A34" t="s">
        <v>50</v>
      </c>
      <c r="B34">
        <v>2</v>
      </c>
      <c r="C34" s="10">
        <v>0.060331</v>
      </c>
      <c r="D34" s="10">
        <v>-0.014032</v>
      </c>
      <c r="E34">
        <f t="shared" si="0"/>
        <v>1</v>
      </c>
    </row>
    <row r="35" spans="1:5">
      <c r="A35" t="s">
        <v>51</v>
      </c>
      <c r="B35">
        <v>126</v>
      </c>
      <c r="C35" s="10">
        <v>-0.044112</v>
      </c>
      <c r="D35" s="10">
        <v>-0.01222</v>
      </c>
      <c r="E35">
        <f t="shared" si="0"/>
        <v>1</v>
      </c>
    </row>
    <row r="36" spans="1:5">
      <c r="A36" t="s">
        <v>52</v>
      </c>
      <c r="B36">
        <v>50</v>
      </c>
      <c r="C36" s="10">
        <v>0.044489</v>
      </c>
      <c r="D36" s="10">
        <v>0.036793</v>
      </c>
      <c r="E36">
        <f t="shared" si="0"/>
        <v>1</v>
      </c>
    </row>
    <row r="37" spans="1:5">
      <c r="A37" t="s">
        <v>53</v>
      </c>
      <c r="B37">
        <v>136</v>
      </c>
      <c r="C37" s="10">
        <v>0.000621</v>
      </c>
      <c r="D37" s="10">
        <v>0.034238</v>
      </c>
      <c r="E37">
        <f t="shared" si="0"/>
        <v>1</v>
      </c>
    </row>
    <row r="38" spans="1:5">
      <c r="A38" t="s">
        <v>54</v>
      </c>
      <c r="B38">
        <v>121</v>
      </c>
      <c r="C38" s="10">
        <v>-0.123364</v>
      </c>
      <c r="D38" s="10">
        <v>-0.36971</v>
      </c>
      <c r="E38">
        <f t="shared" si="0"/>
        <v>1</v>
      </c>
    </row>
    <row r="39" spans="1:5">
      <c r="A39" t="s">
        <v>55</v>
      </c>
      <c r="B39">
        <v>123</v>
      </c>
      <c r="C39" s="10">
        <v>-0.10827</v>
      </c>
      <c r="D39" s="10">
        <v>-0.043088</v>
      </c>
      <c r="E39">
        <f t="shared" si="0"/>
        <v>1</v>
      </c>
    </row>
    <row r="40" spans="1:5">
      <c r="A40" t="s">
        <v>56</v>
      </c>
      <c r="B40">
        <v>160</v>
      </c>
      <c r="C40" s="10">
        <v>-0.083451</v>
      </c>
      <c r="D40" s="10">
        <v>-0.162171</v>
      </c>
      <c r="E40">
        <f t="shared" si="0"/>
        <v>1</v>
      </c>
    </row>
    <row r="41" spans="1:5">
      <c r="A41" t="s">
        <v>57</v>
      </c>
      <c r="B41">
        <v>101</v>
      </c>
      <c r="C41" s="10">
        <v>-0.004225</v>
      </c>
      <c r="D41" s="10">
        <v>-0.024416</v>
      </c>
      <c r="E41">
        <f t="shared" si="0"/>
        <v>1</v>
      </c>
    </row>
    <row r="42" spans="1:5">
      <c r="A42" t="s">
        <v>58</v>
      </c>
      <c r="B42">
        <v>4</v>
      </c>
      <c r="C42" s="10">
        <v>-0.007187</v>
      </c>
      <c r="D42" s="10">
        <v>-0.023961</v>
      </c>
      <c r="E42">
        <f t="shared" si="0"/>
        <v>1</v>
      </c>
    </row>
    <row r="43" spans="1:5">
      <c r="A43" t="s">
        <v>59</v>
      </c>
      <c r="B43">
        <v>18</v>
      </c>
      <c r="C43" s="10">
        <v>0.028609</v>
      </c>
      <c r="D43" s="10">
        <v>-0.016449</v>
      </c>
      <c r="E43">
        <f t="shared" si="0"/>
        <v>1</v>
      </c>
    </row>
    <row r="44" spans="1:5">
      <c r="A44" t="s">
        <v>60</v>
      </c>
      <c r="B44">
        <v>13</v>
      </c>
      <c r="C44" s="10">
        <v>-0.020258</v>
      </c>
      <c r="D44" s="10">
        <v>-0.001451</v>
      </c>
      <c r="E44">
        <f t="shared" si="0"/>
        <v>1</v>
      </c>
    </row>
    <row r="45" spans="1:5">
      <c r="A45" t="s">
        <v>61</v>
      </c>
      <c r="B45">
        <v>1</v>
      </c>
      <c r="C45" s="10">
        <v>0.011722</v>
      </c>
      <c r="D45" s="10">
        <v>0.002454</v>
      </c>
      <c r="E45">
        <f t="shared" si="0"/>
        <v>1</v>
      </c>
    </row>
    <row r="46" spans="1:5">
      <c r="A46" t="s">
        <v>62</v>
      </c>
      <c r="B46">
        <v>23</v>
      </c>
      <c r="C46" s="10">
        <v>-0.022525</v>
      </c>
      <c r="D46" s="10">
        <v>-0.009454</v>
      </c>
      <c r="E46">
        <f t="shared" si="0"/>
        <v>1</v>
      </c>
    </row>
    <row r="47" spans="1:5">
      <c r="A47" s="11" t="s">
        <v>63</v>
      </c>
      <c r="B47" s="11"/>
      <c r="C47" s="12">
        <v>-0.002299</v>
      </c>
      <c r="D47" s="12"/>
      <c r="E47" s="11">
        <f t="shared" si="0"/>
        <v>0</v>
      </c>
    </row>
    <row r="48" spans="1:5">
      <c r="A48" s="11" t="s">
        <v>64</v>
      </c>
      <c r="B48" s="11"/>
      <c r="C48" s="12"/>
      <c r="D48" s="12"/>
      <c r="E48" s="11">
        <f t="shared" si="0"/>
        <v>0</v>
      </c>
    </row>
    <row r="49" spans="1:5">
      <c r="A49" s="11" t="s">
        <v>65</v>
      </c>
      <c r="B49" s="11"/>
      <c r="C49" s="12"/>
      <c r="D49" s="12"/>
      <c r="E49" s="11">
        <f t="shared" si="0"/>
        <v>0</v>
      </c>
    </row>
    <row r="51" spans="1:1">
      <c r="A51" s="13" t="s">
        <v>66</v>
      </c>
    </row>
    <row r="52" spans="1:1">
      <c r="A52" s="14" t="s">
        <v>67</v>
      </c>
    </row>
  </sheetData>
  <mergeCells count="4">
    <mergeCell ref="A1:E1"/>
    <mergeCell ref="A5:E5"/>
    <mergeCell ref="A51:E51"/>
    <mergeCell ref="A52:E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樾努ㄌ樾啈運</cp:lastModifiedBy>
  <dcterms:created xsi:type="dcterms:W3CDTF">2026-08-21T09:05:00Z</dcterms:created>
  <dcterms:modified xsi:type="dcterms:W3CDTF">2026-08-24T07:31:52Z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8DC71DD55E0F41C1A4A32E2CA3E94844_12</vt:lpwstr>
  </property>
  <property fmtid="{D5CDD505-2E9C-101B-9397-08002B2CF9AE}" pid="3" name="KSOProductBuildVer">
    <vt:lpwstr>2052-12.1.0.17133</vt:lpwstr>
  </property>
</Properties>
</file>