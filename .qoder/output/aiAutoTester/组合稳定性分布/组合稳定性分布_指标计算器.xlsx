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指标计算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<sst xmlns="http://schemas.openxmlformats.org/spreadsheetml/2006/main" count="70" uniqueCount="70">
  <si>
    <t>组合稳定性分布 · 指标计算器（打开即可改参数，指标自动重算）</t>
  </si>
  <si>
    <t>模型组合</t>
  </si>
  <si>
    <t>组合总数 N</t>
  </si>
  <si>
    <t>置信系数 z</t>
  </si>
  <si>
    <t>区间天数 D</t>
  </si>
  <si>
    <t>有效天数 T</t>
  </si>
  <si>
    <t>策略收益≠0且非空、且实际收益数据存在的天数(考核数据与实际收益数据为两套数据,但存在性判定等价)</t>
  </si>
  <si>
    <t>胜天数 W</t>
  </si>
  <si>
    <t>胜天=有效天中策略收益&gt;实际收益(跑赢实际)的天</t>
  </si>
  <si>
    <t>μ 平均排名</t>
  </si>
  <si>
    <t>Σ每日排名÷T，越小越好；无效天无排名不参与</t>
  </si>
  <si>
    <t>σ 排名波动</t>
  </si>
  <si>
    <t>总体标准差(÷T)，越小越稳</t>
  </si>
  <si>
    <t>topK 阈值</t>
  </si>
  <si>
    <t>⌈N×10%⌉，下限1</t>
  </si>
  <si>
    <t>前10%率</t>
  </si>
  <si>
    <t>排名≤topK的天数÷T</t>
  </si>
  <si>
    <t>爆雷率</t>
  </si>
  <si>
    <t>排名&gt;N-topK的天数÷T</t>
  </si>
  <si>
    <t>悲观排名 LCB</t>
  </si>
  <si>
    <t>μ+z·σ÷√T，越小越好</t>
  </si>
  <si>
    <t>胜率</t>
  </si>
  <si>
    <t>W÷T</t>
  </si>
  <si>
    <t>覆盖率</t>
  </si>
  <si>
    <t>T÷区间天数D(B4)，分母不可用有实际收益的天数</t>
  </si>
  <si>
    <t>日期</t>
  </si>
  <si>
    <t>每日排名 r</t>
  </si>
  <si>
    <t>策略收益(万)</t>
  </si>
  <si>
    <t>实际收益(万)</t>
  </si>
  <si>
    <t>有效天标志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</si>
  <si>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</si>
  <si>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</si>
  <si>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</si>
  <si>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</si>
  <si>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</si>
  <si>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</si>
  <si>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</si>
  <si>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</si>
  <si>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</si>
  <si>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</si>
  <si>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</si>
  <si>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</si>
  <si>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</si>
  <si>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</si>
  <si>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</si>
  <si>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</si>
  <si>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</si>
  <si>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</si>
  <si>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</si>
  <si>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</si>
  <si>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</si>
  <si>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</si>
  <si>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</si>
  <si>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</si>
  <si>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</si>
  <si>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</si>
  <si>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</si>
  <si>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</si>
  <si>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</si>
  <si>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</si>
  <si>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</si>
  <si>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口径说明</t>
  </si>
  <si>
    <t>1. 有效天=策略收益≠0且非空 且 实际收益偏差考核数据存在；考核数据与实际收益数据是两套数据,但存在性判定等价(某日同时有/同时无),故以D列实际收益是否为空来判定考核数据是否存在</t>
  </si>
  <si>
    <t>2. 每日排名参与口径=有效天口径：无效天无每日排名(B列留空)，不进入μ/σ/topK/爆雷率/LCB统计</t>
  </si>
  <si>
    <t>3. 无效天示例(高亮行45-47)：08-18策略收益非零但实际收益缺失；08-19/20策略收益键缺失(报文dailyDataList无strategyProfit键)</t>
  </si>
  <si>
    <t>4. 区间天数D(B4)=len(dailyDataList)，覆盖率分母=D；本表有实际收益的天数为28(A)，若误用A做分母覆盖率虚高为28/28=100%(正确值90.3%)</t>
  </si>
  <si>
    <t>5. 胜天=策略收益&gt;实际收益(跑赢实际)，胜率=胜天÷有效天</t>
  </si>
  <si>
    <t>6. σ为总体标准差(÷T)；LCB=μ+z·σ÷√T，z可在B3修改(0/1/1.645等)</t>
  </si>
  <si>
    <t>7. 修改B2(N)、B3(z)、B4(D)或下方每日数据，B6:B15全部自动重算</t>
  </si>
  <si>
    <t>8. 本表A-D列取自真实报文组合“太乙-七天前实际负荷 × 综合模型”(2026-07-21~08-20)，C/D列=报文原值÷10000(单位:万)；B列每日排名按需求口径计算(当日收益降序、并列按报文顺序取相邻名次)；报文基准validDays=28/winDays=17/winRate=60.71%/coverage=90.32%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</si>
</sst>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.0%"/>
    <numFmt numFmtId="178" formatCode="0.0000"/>
  </numFmts>
  <fonts count="23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5" borderId="5">
      <alignment vertical="center"/>
    </xf>
    <xf numFmtId="0" fontId="13" fillId="6" borderId="6">
      <alignment vertical="center"/>
    </xf>
    <xf numFmtId="0" fontId="14" fillId="6" borderId="5">
      <alignment vertical="center"/>
    </xf>
    <xf numFmtId="0" fontId="15" fillId="7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" fontId="0" fillId="0" borderId="1" xfId="0" applyNumberFormat="1" applyBorder="1"/>
    <xf numFmtId="176" fontId="0" fillId="0" borderId="1" xfId="0" applyNumberFormat="1" applyBorder="1"/>
    <xf numFmtId="177" fontId="0" fillId="0" borderId="1" xfId="0" applyNumberForma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78" fontId="0" fillId="0" borderId="1" xfId="0" applyNumberFormat="1" applyBorder="1"/>
    <xf numFmtId="0" fontId="0" fillId="3" borderId="1" xfId="0" applyFill="1" applyBorder="1"/>
    <xf numFmtId="178" fontId="0" fillId="3" borderId="1" xfId="0" applyNumberFormat="1" applyFill="1" applyBorder="1"/>
    <xf numFmtId="0" fontId="0" fillId="3" borderId="0" xfId="0" applyFill="1"/>
    <xf numFmtId="178" fontId="0" fillId="3" borderId="0" xfId="0" applyNumberForma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tabSelected="1" topLeftCell="A25" workbookViewId="0">
      <selection activeCell="C46" sqref="C46"/>
    </sheetView>
  </sheetViews>
  <sheetFormatPr defaultColWidth="9" defaultRowHeight="13.5" outlineLevelCol="4"/>
  <cols>
    <col min="1" max="1" width="16" customWidth="1"/>
    <col min="2" max="2" width="12" customWidth="1"/>
    <col min="3" max="3" width="52" customWidth="1"/>
    <col min="4" max="4" width="14" customWidth="1"/>
    <col min="5" max="5" width="11.625" customWidth="1"/>
  </cols>
  <sheetData>
    <row r="1" ht="18.75" customHeight="1" spans="1:1">
      <c r="A1" s="1" t="s">
        <v>0</v>
      </c>
    </row>
    <row r="2" spans="1:1">
      <c r="A2" s="2" t="s">
        <v>1</v>
      </c>
    </row>
    <row r="3" spans="1:2">
      <c r="A3" s="2" t="s">
        <v>2</v>
      </c>
      <c r="B3">
        <f>12*15</f>
        <v>180</v>
      </c>
    </row>
    <row r="4" spans="1:2">
      <c r="A4" s="2" t="s">
        <v>3</v>
      </c>
      <c r="B4">
        <v>1</v>
      </c>
    </row>
    <row r="5" spans="1:2">
      <c r="A5" s="2" t="s">
        <v>4</v>
      </c>
      <c r="B5">
        <v>31</v>
      </c>
    </row>
    <row r="7" spans="1:3">
      <c r="A7" s="2" t="s">
        <v>5</v>
      </c>
      <c r="B7" s="3">
        <f>SUM(E18:E48)</f>
        <v>28</v>
      </c>
      <c r="C7" t="s">
        <v>6</v>
      </c>
    </row>
    <row r="8" spans="1:3">
      <c r="A8" s="2" t="s">
        <v>7</v>
      </c>
      <c r="B8" s="3">
        <f>SUMPRODUCT(E18:E48*(C18:C48&gt;D18:D48))</f>
        <v>17</v>
      </c>
      <c r="C8" t="s">
        <v>8</v>
      </c>
    </row>
    <row r="9" spans="1:3">
      <c r="A9" s="2" t="s">
        <v>9</v>
      </c>
      <c r="B9" s="4">
        <f>IFERROR(SUMPRODUCT(E18:E48*B18:B48)/B7,"")</f>
        <v>71.5714285714286</v>
      </c>
      <c r="C9" t="s">
        <v>10</v>
      </c>
    </row>
    <row r="10" spans="1:3">
      <c r="A10" s="2" t="s">
        <v>11</v>
      </c>
      <c r="B10" s="4">
        <f>IFERROR(SQRT(SUMPRODUCT(E18:E48*(B18:B48-B9)^2)/B7),"")</f>
        <v>49.3670136914957</v>
      </c>
      <c r="C10" t="s">
        <v>12</v>
      </c>
    </row>
    <row r="11" spans="1:3">
      <c r="A11" s="2" t="s">
        <v>13</v>
      </c>
      <c r="B11" s="3">
        <f>MAX(1,ROUNDUP(B2*0.1,0))</f>
        <v>1</v>
      </c>
      <c r="C11" t="s">
        <v>14</v>
      </c>
    </row>
    <row r="12" spans="1:3">
      <c r="A12" s="2" t="s">
        <v>15</v>
      </c>
      <c r="B12" s="5">
        <f>IFERROR(SUMPRODUCT(E18:E48*(B18:B48&lt;=B11))/B7,"")</f>
        <v>0.0357142857142857</v>
      </c>
      <c r="C12" t="s">
        <v>16</v>
      </c>
    </row>
    <row r="13" spans="1:3">
      <c r="A13" s="2" t="s">
        <v>17</v>
      </c>
      <c r="B13" s="5">
        <f>IFERROR(SUMPRODUCT(E18:E48*(B18:B48&gt;B2-B11))/B7,"")</f>
        <v>1</v>
      </c>
      <c r="C13" t="s">
        <v>18</v>
      </c>
    </row>
    <row r="14" spans="1:3">
      <c r="A14" s="2" t="s">
        <v>19</v>
      </c>
      <c r="B14" s="4">
        <f>IFERROR(B9+B4*B10/SQRT(B7),"")</f>
        <v>80.9009172284013</v>
      </c>
      <c r="C14" t="s">
        <v>20</v>
      </c>
    </row>
    <row r="15" spans="1:3">
      <c r="A15" s="2" t="s">
        <v>21</v>
      </c>
      <c r="B15" s="5">
        <f>IFERROR(B8/B7,"")</f>
        <v>0.607142857142857</v>
      </c>
      <c r="C15" t="s">
        <v>22</v>
      </c>
    </row>
    <row r="16" spans="1:3">
      <c r="A16" s="2" t="s">
        <v>23</v>
      </c>
      <c r="B16" s="5">
        <f>IFERROR(B7/B5,"")</f>
        <v>0.903225806451613</v>
      </c>
      <c r="C16" t="s">
        <v>24</v>
      </c>
    </row>
    <row r="17" spans="1:5">
      <c r="A17" s="6" t="s">
        <v>25</v>
      </c>
      <c r="B17" s="6" t="s">
        <v>26</v>
      </c>
      <c r="C17" s="6" t="s">
        <v>27</v>
      </c>
      <c r="D17" s="6" t="s">
        <v>28</v>
      </c>
      <c r="E17" s="6" t="s">
        <v>29</v>
      </c>
    </row>
    <row r="18" spans="1:5">
      <c r="A18" s="7" t="s">
        <v>30</v>
      </c>
      <c r="B18" s="7">
        <v>66</v>
      </c>
      <c r="C18" s="8">
        <v>0.030045</v>
      </c>
      <c r="D18" s="8">
        <v>0.02097</v>
      </c>
      <c r="E18" s="7">
        <f t="shared" ref="E18:E48" si="0">IF(AND(B18&lt;&gt;"",C18&lt;&gt;"",C18&lt;&gt;0,D18&lt;&gt;""),1,0)</f>
        <v>1</v>
      </c>
    </row>
    <row r="19" spans="1:5">
      <c r="A19" s="7" t="s">
        <v>31</v>
      </c>
      <c r="B19" s="7">
        <v>51</v>
      </c>
      <c r="C19" s="8">
        <v>0.138428</v>
      </c>
      <c r="D19" s="8">
        <v>-0.091779</v>
      </c>
      <c r="E19" s="7">
        <f t="shared" si="0"/>
        <v>1</v>
      </c>
    </row>
    <row r="20" spans="1:5">
      <c r="A20" s="7" t="s">
        <v>32</v>
      </c>
      <c r="B20" s="7">
        <v>37</v>
      </c>
      <c r="C20" s="8">
        <v>0.014223</v>
      </c>
      <c r="D20" s="8">
        <v>-0.008841</v>
      </c>
      <c r="E20" s="7">
        <f t="shared" si="0"/>
        <v>1</v>
      </c>
    </row>
    <row r="21" spans="1:5">
      <c r="A21" s="7" t="s">
        <v>33</v>
      </c>
      <c r="B21" s="7">
        <v>72</v>
      </c>
      <c r="C21" s="8">
        <v>0.03507</v>
      </c>
      <c r="D21" s="8">
        <v>0.020911</v>
      </c>
      <c r="E21" s="7">
        <f t="shared" si="0"/>
        <v>1</v>
      </c>
    </row>
    <row r="22" spans="1:5">
      <c r="A22" s="7" t="s">
        <v>34</v>
      </c>
      <c r="B22" s="7">
        <v>66</v>
      </c>
      <c r="C22" s="8">
        <v>-0.03692</v>
      </c>
      <c r="D22" s="8">
        <v>-0.014104</v>
      </c>
      <c r="E22" s="7">
        <f t="shared" si="0"/>
        <v>1</v>
      </c>
    </row>
    <row r="23" spans="1:5">
      <c r="A23" s="7" t="s">
        <v>35</v>
      </c>
      <c r="B23" s="7">
        <v>128</v>
      </c>
      <c r="C23" s="8">
        <v>0.025906</v>
      </c>
      <c r="D23" s="8">
        <v>0.024279</v>
      </c>
      <c r="E23" s="7">
        <f t="shared" si="0"/>
        <v>1</v>
      </c>
    </row>
    <row r="24" spans="1:5">
      <c r="A24" s="7" t="s">
        <v>36</v>
      </c>
      <c r="B24" s="7">
        <v>118</v>
      </c>
      <c r="C24" s="8">
        <v>0.030081</v>
      </c>
      <c r="D24" s="8">
        <v>0.004063</v>
      </c>
      <c r="E24" s="7">
        <f t="shared" si="0"/>
        <v>1</v>
      </c>
    </row>
    <row r="25" spans="1:5">
      <c r="A25" s="7" t="s">
        <v>37</v>
      </c>
      <c r="B25" s="7">
        <v>71</v>
      </c>
      <c r="C25" s="8">
        <v>0.06353</v>
      </c>
      <c r="D25" s="8">
        <v>0.006764</v>
      </c>
      <c r="E25" s="7">
        <f t="shared" si="0"/>
        <v>1</v>
      </c>
    </row>
    <row r="26" spans="1:5">
      <c r="A26" s="7" t="s">
        <v>38</v>
      </c>
      <c r="B26" s="7">
        <v>40</v>
      </c>
      <c r="C26" s="8">
        <v>0.030731</v>
      </c>
      <c r="D26" s="8">
        <v>0.03195</v>
      </c>
      <c r="E26" s="7">
        <f t="shared" si="0"/>
        <v>1</v>
      </c>
    </row>
    <row r="27" spans="1:5">
      <c r="A27" s="7" t="s">
        <v>39</v>
      </c>
      <c r="B27" s="7">
        <v>116</v>
      </c>
      <c r="C27" s="8">
        <v>0.032767</v>
      </c>
      <c r="D27" s="8">
        <v>0.00276</v>
      </c>
      <c r="E27" s="7">
        <f t="shared" si="0"/>
        <v>1</v>
      </c>
    </row>
    <row r="28" spans="1:5">
      <c r="A28" s="7" t="s">
        <v>40</v>
      </c>
      <c r="B28" s="7">
        <v>63</v>
      </c>
      <c r="C28" s="8">
        <v>0.037561</v>
      </c>
      <c r="D28" s="8">
        <v>0.052616</v>
      </c>
      <c r="E28" s="7">
        <f t="shared" si="0"/>
        <v>1</v>
      </c>
    </row>
    <row r="29" spans="1:5">
      <c r="A29" s="7" t="s">
        <v>41</v>
      </c>
      <c r="B29" s="7">
        <v>128</v>
      </c>
      <c r="C29" s="8">
        <v>-0.030307</v>
      </c>
      <c r="D29" s="8">
        <v>-0.001786</v>
      </c>
      <c r="E29" s="7">
        <f t="shared" si="0"/>
        <v>1</v>
      </c>
    </row>
    <row r="30" spans="1:5">
      <c r="A30" s="7" t="s">
        <v>42</v>
      </c>
      <c r="B30" s="7">
        <v>138</v>
      </c>
      <c r="C30" s="8">
        <v>-0.006275</v>
      </c>
      <c r="D30" s="8">
        <v>0.018216</v>
      </c>
      <c r="E30" s="7">
        <f t="shared" si="0"/>
        <v>1</v>
      </c>
    </row>
    <row r="31" spans="1:5">
      <c r="A31" s="7" t="s">
        <v>43</v>
      </c>
      <c r="B31" s="7">
        <v>15</v>
      </c>
      <c r="C31" s="8">
        <v>-0.012107</v>
      </c>
      <c r="D31" s="8">
        <v>-0.012637</v>
      </c>
      <c r="E31" s="7">
        <f t="shared" si="0"/>
        <v>1</v>
      </c>
    </row>
    <row r="32" spans="1:5">
      <c r="A32" s="7" t="s">
        <v>44</v>
      </c>
      <c r="B32" s="7">
        <v>17</v>
      </c>
      <c r="C32" s="8">
        <v>-0.029857</v>
      </c>
      <c r="D32" s="8">
        <v>-0.029151</v>
      </c>
      <c r="E32" s="7">
        <f t="shared" si="0"/>
        <v>1</v>
      </c>
    </row>
    <row r="33" spans="1:5">
      <c r="A33" s="7" t="s">
        <v>45</v>
      </c>
      <c r="B33" s="7">
        <v>2</v>
      </c>
      <c r="C33" s="8">
        <v>0.060331</v>
      </c>
      <c r="D33" s="8">
        <v>-0.014032</v>
      </c>
      <c r="E33" s="7">
        <f t="shared" si="0"/>
        <v>1</v>
      </c>
    </row>
    <row r="34" spans="1:5">
      <c r="A34" s="7" t="s">
        <v>46</v>
      </c>
      <c r="B34" s="7">
        <v>126</v>
      </c>
      <c r="C34" s="8">
        <v>-0.044112</v>
      </c>
      <c r="D34" s="8">
        <v>-0.01222</v>
      </c>
      <c r="E34" s="7">
        <f t="shared" si="0"/>
        <v>1</v>
      </c>
    </row>
    <row r="35" spans="1:5">
      <c r="A35" s="7" t="s">
        <v>47</v>
      </c>
      <c r="B35" s="7">
        <v>50</v>
      </c>
      <c r="C35" s="8">
        <v>0.044489</v>
      </c>
      <c r="D35" s="8">
        <v>0.036793</v>
      </c>
      <c r="E35" s="7">
        <f t="shared" si="0"/>
        <v>1</v>
      </c>
    </row>
    <row r="36" spans="1:5">
      <c r="A36" s="7" t="s">
        <v>48</v>
      </c>
      <c r="B36" s="7">
        <v>136</v>
      </c>
      <c r="C36" s="8">
        <v>0.000621</v>
      </c>
      <c r="D36" s="8">
        <v>0.034238</v>
      </c>
      <c r="E36" s="7">
        <f t="shared" si="0"/>
        <v>1</v>
      </c>
    </row>
    <row r="37" spans="1:5">
      <c r="A37" s="7" t="s">
        <v>49</v>
      </c>
      <c r="B37" s="7">
        <v>121</v>
      </c>
      <c r="C37" s="8">
        <v>-0.123364</v>
      </c>
      <c r="D37" s="8">
        <v>-0.36971</v>
      </c>
      <c r="E37" s="7">
        <f t="shared" si="0"/>
        <v>1</v>
      </c>
    </row>
    <row r="38" spans="1:5">
      <c r="A38" s="7" t="s">
        <v>50</v>
      </c>
      <c r="B38" s="7">
        <v>123</v>
      </c>
      <c r="C38" s="8">
        <v>-0.10827</v>
      </c>
      <c r="D38" s="8">
        <v>-0.043088</v>
      </c>
      <c r="E38" s="7">
        <f t="shared" si="0"/>
        <v>1</v>
      </c>
    </row>
    <row r="39" spans="1:5">
      <c r="A39" s="7" t="s">
        <v>51</v>
      </c>
      <c r="B39" s="7">
        <v>160</v>
      </c>
      <c r="C39" s="8">
        <v>-0.083451</v>
      </c>
      <c r="D39" s="8">
        <v>-0.162171</v>
      </c>
      <c r="E39" s="7">
        <f t="shared" si="0"/>
        <v>1</v>
      </c>
    </row>
    <row r="40" spans="1:5">
      <c r="A40" s="7" t="s">
        <v>52</v>
      </c>
      <c r="B40" s="7">
        <v>101</v>
      </c>
      <c r="C40" s="8">
        <v>-0.004225</v>
      </c>
      <c r="D40" s="8">
        <v>-0.024416</v>
      </c>
      <c r="E40" s="7">
        <f t="shared" si="0"/>
        <v>1</v>
      </c>
    </row>
    <row r="41" spans="1:5">
      <c r="A41" s="7" t="s">
        <v>53</v>
      </c>
      <c r="B41" s="7">
        <v>4</v>
      </c>
      <c r="C41" s="8">
        <v>-0.007187</v>
      </c>
      <c r="D41" s="8">
        <v>-0.023961</v>
      </c>
      <c r="E41" s="7">
        <f t="shared" si="0"/>
        <v>1</v>
      </c>
    </row>
    <row r="42" spans="1:5">
      <c r="A42" s="7" t="s">
        <v>54</v>
      </c>
      <c r="B42" s="7">
        <v>18</v>
      </c>
      <c r="C42" s="8">
        <v>0.028609</v>
      </c>
      <c r="D42" s="8">
        <v>-0.016449</v>
      </c>
      <c r="E42" s="7">
        <f t="shared" si="0"/>
        <v>1</v>
      </c>
    </row>
    <row r="43" spans="1:5">
      <c r="A43" s="7" t="s">
        <v>55</v>
      </c>
      <c r="B43" s="7">
        <v>13</v>
      </c>
      <c r="C43" s="8">
        <v>-0.020258</v>
      </c>
      <c r="D43" s="8">
        <v>-0.001451</v>
      </c>
      <c r="E43" s="7">
        <f t="shared" si="0"/>
        <v>1</v>
      </c>
    </row>
    <row r="44" spans="1:5">
      <c r="A44" s="7" t="s">
        <v>56</v>
      </c>
      <c r="B44" s="7">
        <v>1</v>
      </c>
      <c r="C44" s="8">
        <v>0.011722</v>
      </c>
      <c r="D44" s="8">
        <v>0.002454</v>
      </c>
      <c r="E44" s="7">
        <f t="shared" si="0"/>
        <v>1</v>
      </c>
    </row>
    <row r="45" spans="1:5">
      <c r="A45" s="7" t="s">
        <v>57</v>
      </c>
      <c r="B45" s="7">
        <v>23</v>
      </c>
      <c r="C45" s="8">
        <v>-0.022525</v>
      </c>
      <c r="D45" s="8">
        <v>-0.009454</v>
      </c>
      <c r="E45" s="7">
        <f t="shared" si="0"/>
        <v>1</v>
      </c>
    </row>
    <row r="46" spans="1:5">
      <c r="A46" s="9" t="s">
        <v>58</v>
      </c>
      <c r="B46" s="9"/>
      <c r="C46" s="10">
        <v>-0.002299</v>
      </c>
      <c r="D46" s="10"/>
      <c r="E46" s="9">
        <f t="shared" si="0"/>
        <v>0</v>
      </c>
    </row>
    <row r="47" spans="1:5">
      <c r="A47" s="9" t="s">
        <v>59</v>
      </c>
      <c r="B47" s="11"/>
      <c r="C47" s="10"/>
      <c r="D47" s="10"/>
      <c r="E47" s="9">
        <f t="shared" si="0"/>
        <v>0</v>
      </c>
    </row>
    <row r="48" spans="1:5">
      <c r="A48" s="9" t="s">
        <v>60</v>
      </c>
      <c r="B48" s="11"/>
      <c r="C48" s="10"/>
      <c r="D48" s="12"/>
      <c r="E48" s="9">
        <f t="shared" si="0"/>
        <v>0</v>
      </c>
    </row>
    <row r="50" spans="1:1">
      <c r="A50" s="2" t="s">
        <v>61</v>
      </c>
    </row>
    <row r="51" spans="1:1">
      <c r="A51" t="s">
        <v>62</v>
      </c>
    </row>
    <row r="52" spans="1:1">
      <c r="A52" t="s">
        <v>63</v>
      </c>
    </row>
    <row r="53" spans="1:1">
      <c r="A53" t="s">
        <v>64</v>
      </c>
    </row>
    <row r="54" spans="1:1">
      <c r="A54" t="s">
        <v>65</v>
      </c>
    </row>
    <row r="55" spans="1:1">
      <c r="A55" t="s">
        <v>66</v>
      </c>
    </row>
    <row r="56" spans="1:1">
      <c r="A56" t="s">
        <v>67</v>
      </c>
    </row>
    <row r="57" spans="1:1">
      <c r="A57" t="s">
        <v>68</v>
      </c>
    </row>
    <row r="58" spans="1:1">
      <c r="A58" t="s">
        <v>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指标计算器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樾努ㄌ樾啈運</cp:lastModifiedBy>
  <dcterms:created xsi:type="dcterms:W3CDTF">2026-08-21T06:15:00Z</dcterms:created>
  <dcterms:modified xsi:type="dcterms:W3CDTF">2026-08-21T07:59:09Z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F61553B12B3946D7808E240D44CA1EA2_12</vt:lpwstr>
  </property>
  <property fmtid="{D5CDD505-2E9C-101B-9397-08002B2CF9AE}" pid="3" name="KSOProductBuildVer">
    <vt:lpwstr>2052-12.1.0.17133</vt:lpwstr>
  </property>
</Properties>
</file>