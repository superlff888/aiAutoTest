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指标计算器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<sst xmlns="http://schemas.openxmlformats.org/spreadsheetml/2006/main" count="68" uniqueCount="68">
  <si>
    <t>组合稳定性分布图 — 指标计算器(基于需求口径)</t>
  </si>
  <si>
    <t>N = 策略模型数 × 负荷模型数 (12×15=180个组合)</t>
  </si>
  <si>
    <t>z = 置信系数 (95%取1.96，常用近似1)</t>
  </si>
  <si>
    <t>区间天数 D = len(dailyDataList) 完整区间日(含无数据日)，禁止用有实际收益的天数</t>
  </si>
  <si>
    <t>← 覆盖率的分母</t>
  </si>
  <si>
    <t>指标计算区(太乙-算法TabM × 太乙-深度训练)</t>
  </si>
  <si>
    <t>有效天数 T</t>
  </si>
  <si>
    <t>策略收益≠0且非空、且实际收益数据存在的天数(考核数据与实际收益数据为两套数据,但存在性判定等价)</t>
  </si>
  <si>
    <t>胜天数 W</t>
  </si>
  <si>
    <t>当日策略收益&gt;实际收益(基准)的天数</t>
  </si>
  <si>
    <t>平均排名 μ</t>
  </si>
  <si>
    <t>仅统计有效天(B列非空;无效天r留空不参与μ)，需求口径下参与天数=T</t>
  </si>
  <si>
    <t>排名波动 σ</t>
  </si>
  <si>
    <t>总体标准差,仅统计有效天</t>
  </si>
  <si>
    <t>topK</t>
  </si>
  <si>
    <t>N×10%</t>
  </si>
  <si>
    <t>前10%率</t>
  </si>
  <si>
    <t>排名≤topK 的天 ÷ 有效天数T(=参与天数)</t>
  </si>
  <si>
    <t>爆雷率</t>
  </si>
  <si>
    <t>排名&gt; N−topK 的天 ÷ 有效天数T(=参与天数)</t>
  </si>
  <si>
    <t>悲观排名（LCB）</t>
  </si>
  <si>
    <t>μ+z·σ/√T(z=B3=1)，越小越好；对齐spot_review.js:879</t>
  </si>
  <si>
    <t>胜率</t>
  </si>
  <si>
    <t>W÷T</t>
  </si>
  <si>
    <t>覆盖率</t>
  </si>
  <si>
    <t>T÷区间天数D(B4)，分母不可用有实际收益的天数</t>
  </si>
  <si>
    <t>综合评价标签</t>
  </si>
  <si>
    <t>不稳定</t>
  </si>
  <si>
    <t>分位线与值</t>
  </si>
  <si>
    <t>P10(86.0)/P35(99.9)/P65(114.8)/P90(139.1)</t>
  </si>
  <si>
    <t>日期</t>
  </si>
  <si>
    <t>每日排名 r</t>
  </si>
  <si>
    <t>策略收益(元)</t>
  </si>
  <si>
    <t>实际收益(元)</t>
  </si>
  <si>
    <t>有效天标志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</si>
  <si>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</si>
  <si>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</si>
  <si>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</si>
  <si>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</si>
  <si>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</si>
  <si>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</si>
  <si>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</si>
  <si>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</si>
  <si>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</si>
  <si>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</si>
  <si>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</si>
  <si>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</si>
  <si>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</si>
  <si>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</si>
  <si>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</si>
  <si>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</si>
  <si>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</si>
  <si>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</si>
  <si>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</si>
  <si>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</si>
  <si>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</si>
  <si>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</si>
  <si>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</si>
  <si>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</si>
  <si>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</si>
  <si>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</si>
  <si>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</si>
  <si>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</si>
  <si>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</si>
  <si>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</si>
  <si>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</si>
  <si>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口径说明</t>
  </si>
  <si>
    <t>1. 有效天数=策略收益≠0且非空、且实际收益数据存在的天数(考核数据与实际收益数据为两套数据,但存在性判定等价)。无效天=策略收益为空/0，或实际收益(考核)数据缺失。
2. 每日排名参与口径=有效天(即参与天数=T)；当日参与组合按策略收益降序稳定排序，名次=位置序号，并列按报文顺序取相邻名次；无效天(如收益缺失日/无实际收益日)不参与排名、r留空。
3. 无效天示例(高亮行19-48)：2026-07-21(策略收益键缺失)；2026-07-22(策略收益键缺失)；2026-07-23(策略收益键缺失)；2026-07-24(策略收益键缺失)；2026-07-25(策略收益键缺失)；2026-07-26(策略收益键缺失)；2026-07-27(策略收益键缺失)；2026-07-28(策略收益键缺失)；2026-07-29(策略收益键缺失)；2026-08-07(策略收益键缺失)；2026-08-08(策略收益键缺失)；2026-08-09(策略收益键缺失)；2026-08-10(策略收益键缺失)；2026-08-13(策略收益键缺失)；2026-08-14(策略收益键缺失)；2026-08-15(策略收益键缺失)；2026-08-16(策略收益键缺失)；2026-08-17(策略收益键缺失)；2026-08-19(策略收益键缺失)
4. 区间天数D(B4)=len(dailyDataList)=31，覆盖率分母=D；本表有实际收益的天数A=31，本区间D=A无缺实际收益日
5. 胜天=当日策略收益&gt;实际收益(基准)；胜率=W÷T。
6. σ为总体标准差STDEV.P；μ/σ仅统计有效天(B列非空;参与天数=T)；LCB(悲观排名)=μ+z·σ/√T(z=B3=1)，越小越好(对齐前端879行)。
7. 修改B2(组合总数)、B3(z)、B4(区间天数D)后所有指标自动重算；数据区最多31行。
8. 本表A-D列取自真实报文组合“太乙-算法TabM × 太乙-深度训练”(2026-07-21~2026-08-20)，C/D列=报文原值(单位:元,显示2位小数)；B列每日排名按requirement口径计算(当日收益降序、并列同名次跳号的竞赛排名法)；报文基准validDays=12/winDays=3/winRate=0.2500/coverage=0.3871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</si>
</sst>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</numFmts>
  <fonts count="26">
    <font>
      <sz val="11"/>
      <color theme="1"/>
      <name val="宋体"/>
      <charset val="134"/>
      <scheme val="minor"/>
    </font>
    <font>
      <b/>
      <sz val="18"/>
      <color rgb="FFFF00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b/>
      <sz val="11"/>
      <name val="宋体"/>
      <charset val="134"/>
      <scheme val="minor"/>
    </font>
    <font>
      <b/>
      <sz val="18"/>
      <color theme="1"/>
      <name val="宋体"/>
      <charset val="134"/>
      <scheme val="minor"/>
    </font>
    <font>
      <b/>
      <sz val="10"/>
      <color rgb="FFFFFFFF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7" borderId="1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2">
      <alignment vertical="center"/>
    </xf>
    <xf numFmtId="0" fontId="13" fillId="0" borderId="2">
      <alignment vertical="center"/>
    </xf>
    <xf numFmtId="0" fontId="14" fillId="0" borderId="3">
      <alignment vertical="center"/>
    </xf>
    <xf numFmtId="0" fontId="14" fillId="0" borderId="0">
      <alignment vertical="center"/>
    </xf>
    <xf numFmtId="0" fontId="15" fillId="8" borderId="4">
      <alignment vertical="center"/>
    </xf>
    <xf numFmtId="0" fontId="16" fillId="9" borderId="5">
      <alignment vertical="center"/>
    </xf>
    <xf numFmtId="0" fontId="17" fillId="9" borderId="4">
      <alignment vertical="center"/>
    </xf>
    <xf numFmtId="0" fontId="18" fillId="10" borderId="6">
      <alignment vertical="center"/>
    </xf>
    <xf numFmtId="0" fontId="19" fillId="0" borderId="7">
      <alignment vertical="center"/>
    </xf>
    <xf numFmtId="0" fontId="20" fillId="0" borderId="8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3" fillId="13" borderId="0">
      <alignment vertical="center"/>
    </xf>
    <xf numFmtId="0" fontId="24" fillId="14" borderId="0">
      <alignment vertical="center"/>
    </xf>
    <xf numFmtId="0" fontId="25" fillId="15" borderId="0">
      <alignment vertical="center"/>
    </xf>
    <xf numFmtId="0" fontId="25" fillId="16" borderId="0">
      <alignment vertical="center"/>
    </xf>
    <xf numFmtId="0" fontId="24" fillId="17" borderId="0">
      <alignment vertical="center"/>
    </xf>
    <xf numFmtId="0" fontId="24" fillId="18" borderId="0">
      <alignment vertical="center"/>
    </xf>
    <xf numFmtId="0" fontId="25" fillId="19" borderId="0">
      <alignment vertical="center"/>
    </xf>
    <xf numFmtId="0" fontId="25" fillId="20" borderId="0">
      <alignment vertical="center"/>
    </xf>
    <xf numFmtId="0" fontId="24" fillId="21" borderId="0">
      <alignment vertical="center"/>
    </xf>
    <xf numFmtId="0" fontId="24" fillId="22" borderId="0">
      <alignment vertical="center"/>
    </xf>
    <xf numFmtId="0" fontId="25" fillId="23" borderId="0">
      <alignment vertical="center"/>
    </xf>
    <xf numFmtId="0" fontId="25" fillId="24" borderId="0">
      <alignment vertical="center"/>
    </xf>
    <xf numFmtId="0" fontId="24" fillId="25" borderId="0">
      <alignment vertical="center"/>
    </xf>
    <xf numFmtId="0" fontId="24" fillId="26" borderId="0">
      <alignment vertical="center"/>
    </xf>
    <xf numFmtId="0" fontId="25" fillId="27" borderId="0">
      <alignment vertical="center"/>
    </xf>
    <xf numFmtId="0" fontId="25" fillId="28" borderId="0">
      <alignment vertical="center"/>
    </xf>
    <xf numFmtId="0" fontId="24" fillId="29" borderId="0">
      <alignment vertical="center"/>
    </xf>
    <xf numFmtId="0" fontId="24" fillId="30" borderId="0">
      <alignment vertical="center"/>
    </xf>
    <xf numFmtId="0" fontId="25" fillId="31" borderId="0">
      <alignment vertical="center"/>
    </xf>
    <xf numFmtId="0" fontId="25" fillId="32" borderId="0">
      <alignment vertical="center"/>
    </xf>
    <xf numFmtId="0" fontId="24" fillId="33" borderId="0">
      <alignment vertical="center"/>
    </xf>
    <xf numFmtId="0" fontId="24" fillId="34" borderId="0">
      <alignment vertical="center"/>
    </xf>
    <xf numFmtId="0" fontId="25" fillId="35" borderId="0">
      <alignment vertical="center"/>
    </xf>
    <xf numFmtId="0" fontId="25" fillId="36" borderId="0">
      <alignment vertical="center"/>
    </xf>
    <xf numFmtId="0" fontId="24" fillId="37" borderId="0">
      <alignment vertical="center"/>
    </xf>
  </cellStyleXfs>
  <cellXfs count="19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3" borderId="0" xfId="0" applyFont="1" applyFill="1"/>
    <xf numFmtId="0" fontId="4" fillId="3" borderId="0" xfId="0" applyFont="1" applyFill="1"/>
    <xf numFmtId="0" fontId="5" fillId="0" borderId="0" xfId="0" applyFont="1"/>
    <xf numFmtId="0" fontId="4" fillId="4" borderId="0" xfId="0" applyFont="1" applyFill="1"/>
    <xf numFmtId="0" fontId="3" fillId="4" borderId="0" xfId="0" applyFont="1" applyFill="1"/>
    <xf numFmtId="176" fontId="0" fillId="0" borderId="0" xfId="0" applyNumberFormat="1"/>
    <xf numFmtId="0" fontId="3" fillId="0" borderId="0" xfId="0" applyFont="1"/>
    <xf numFmtId="10" fontId="0" fillId="0" borderId="0" xfId="0" applyNumberFormat="1"/>
    <xf numFmtId="176" fontId="0" fillId="0" borderId="0" xfId="0" applyNumberFormat="1" applyAlignment="1">
      <alignment horizontal="right"/>
    </xf>
    <xf numFmtId="176" fontId="0" fillId="0" borderId="0" xfId="0" applyNumberFormat="1" applyAlignment="1">
      <alignment horizontal="left"/>
    </xf>
    <xf numFmtId="0" fontId="6" fillId="5" borderId="0" xfId="0" applyFont="1" applyFill="1" applyAlignment="1">
      <alignment horizontal="center" vertical="center"/>
    </xf>
    <xf numFmtId="0" fontId="0" fillId="6" borderId="0" xfId="0" applyFill="1"/>
    <xf numFmtId="2" fontId="0" fillId="6" borderId="0" xfId="0" applyNumberFormat="1" applyFill="1"/>
    <xf numFmtId="2" fontId="0" fillId="0" borderId="0" xfId="0" applyNumberFormat="1"/>
    <xf numFmtId="0" fontId="4" fillId="0" borderId="0" xfId="0" applyFont="1"/>
    <xf numFmtId="0" fontId="0" fillId="0" borderId="0" xfId="0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9"/>
  <sheetViews>
    <sheetView tabSelected="1" topLeftCell="A34" workbookViewId="0">
      <selection activeCell="B67" sqref="B67"/>
    </sheetView>
  </sheetViews>
  <sheetFormatPr defaultColWidth="9" defaultRowHeight="13.5"/>
  <cols>
    <col min="1" max="1" width="63.75" customWidth="1"/>
    <col min="2" max="2" width="30.875" customWidth="1"/>
    <col min="3" max="4" width="16" customWidth="1"/>
    <col min="5" max="5" width="10" customWidth="1"/>
  </cols>
  <sheetData>
    <row r="1" ht="45" customHeight="1" spans="1:1">
      <c r="A1" s="1" t="s">
        <v>0</v>
      </c>
    </row>
    <row r="2" spans="1:2">
      <c r="A2" s="2" t="s">
        <v>1</v>
      </c>
      <c r="B2" s="3">
        <v>240</v>
      </c>
    </row>
    <row r="3" spans="1:2">
      <c r="A3" t="s">
        <v>2</v>
      </c>
      <c r="B3" s="4">
        <v>1</v>
      </c>
    </row>
    <row r="4" spans="1:3">
      <c r="A4" t="s">
        <v>3</v>
      </c>
      <c r="B4" s="4">
        <v>31</v>
      </c>
      <c r="C4" s="4" t="s">
        <v>4</v>
      </c>
    </row>
    <row r="5" ht="22.5" customHeight="1" spans="1:1">
      <c r="A5" s="5" t="s">
        <v>5</v>
      </c>
    </row>
    <row r="6" spans="1:12">
      <c r="A6" s="6" t="s">
        <v>6</v>
      </c>
      <c r="B6">
        <f>SUM(E19:E49)</f>
        <v>12</v>
      </c>
      <c r="C6" t="s">
        <v>7</v>
      </c>
      <c r="L6">
        <f>COUNTIF(B19:B49,"&gt;0")</f>
        <v>12</v>
      </c>
    </row>
    <row r="7" spans="1:3">
      <c r="A7" s="6" t="s">
        <v>8</v>
      </c>
      <c r="B7">
        <f>SUMPRODUCT((C19:C49&gt;D19:D49)*(E19:E49=1))</f>
        <v>3</v>
      </c>
      <c r="C7" t="s">
        <v>9</v>
      </c>
    </row>
    <row r="8" spans="1:3">
      <c r="A8" s="7" t="s">
        <v>10</v>
      </c>
      <c r="B8">
        <f>IFERROR(ROUND(AVERAGE(B19:B49),1),"-")</f>
        <v>115.7</v>
      </c>
      <c r="C8" t="s">
        <v>11</v>
      </c>
    </row>
    <row r="9" spans="1:3">
      <c r="A9" s="7" t="s">
        <v>12</v>
      </c>
      <c r="B9">
        <f>IFERROR(ROUND(STDEV.P(B19:B49),1),"-")</f>
        <v>41.9</v>
      </c>
      <c r="C9" t="s">
        <v>13</v>
      </c>
    </row>
    <row r="10" spans="1:3">
      <c r="A10" s="6" t="s">
        <v>14</v>
      </c>
      <c r="B10">
        <f>ROUND(B2*10%,0)</f>
        <v>24</v>
      </c>
      <c r="C10" t="s">
        <v>15</v>
      </c>
    </row>
    <row r="11" spans="1:6">
      <c r="A11" s="7" t="s">
        <v>16</v>
      </c>
      <c r="B11" s="8">
        <f t="array" ref="B11">IFERROR(SUMPRODUCT((B19:B49&gt;0)*(B19:B49&lt;=B10))/B6,"-")</f>
        <v>0</v>
      </c>
      <c r="C11" t="s">
        <v>17</v>
      </c>
      <c r="F11" s="9">
        <f t="array" ref="F11">SUMPRODUCT((B19:B49&gt;0)*(B19:B49&lt;=B10))</f>
        <v>0</v>
      </c>
    </row>
    <row r="12" spans="1:3">
      <c r="A12" s="7" t="s">
        <v>18</v>
      </c>
      <c r="B12" s="8">
        <f t="array" ref="B12">IFERROR(SUMPRODUCT((B19:B49&gt;B2-B10))/B6,"-")</f>
        <v>0</v>
      </c>
      <c r="C12" t="s">
        <v>19</v>
      </c>
    </row>
    <row r="13" spans="1:3">
      <c r="A13" s="7" t="s">
        <v>20</v>
      </c>
      <c r="B13">
        <f>IFERROR(ROUND(B8+B9*B3/SQRT(B6),1),"-")</f>
        <v>127.8</v>
      </c>
      <c r="C13" t="s">
        <v>21</v>
      </c>
    </row>
    <row r="14" spans="1:3">
      <c r="A14" s="7" t="s">
        <v>22</v>
      </c>
      <c r="B14" s="8">
        <f>IFERROR(B7/B6,"-")</f>
        <v>0.25</v>
      </c>
      <c r="C14" t="s">
        <v>23</v>
      </c>
    </row>
    <row r="15" spans="1:3">
      <c r="A15" s="7" t="s">
        <v>24</v>
      </c>
      <c r="B15" s="10">
        <f>IFERROR(B6/B4,"-")</f>
        <v>0.387096774193548</v>
      </c>
      <c r="C15" t="s">
        <v>25</v>
      </c>
    </row>
    <row r="16" spans="1:2">
      <c r="A16" s="7" t="s">
        <v>26</v>
      </c>
      <c r="B16" s="11" t="s">
        <v>27</v>
      </c>
    </row>
    <row r="17" spans="1:2">
      <c r="A17" s="6" t="s">
        <v>28</v>
      </c>
      <c r="B17" s="12" t="s">
        <v>29</v>
      </c>
    </row>
    <row r="18" spans="1:5">
      <c r="A18" s="13" t="s">
        <v>30</v>
      </c>
      <c r="B18" s="13" t="s">
        <v>31</v>
      </c>
      <c r="C18" s="13" t="s">
        <v>32</v>
      </c>
      <c r="D18" s="13" t="s">
        <v>33</v>
      </c>
      <c r="E18" s="13" t="s">
        <v>34</v>
      </c>
    </row>
    <row r="19" spans="1:5">
      <c r="A19" s="14" t="s">
        <v>35</v>
      </c>
      <c r="B19" s="14"/>
      <c r="C19" s="15"/>
      <c r="D19" s="15">
        <v>209.7019067</v>
      </c>
      <c r="E19" s="14">
        <f t="shared" ref="E19:E49" si="0">IF(AND(B19&lt;&gt;"",C19&lt;&gt;"",C19&lt;&gt;0,D19&lt;&gt;""),1,0)</f>
        <v>0</v>
      </c>
    </row>
    <row r="20" spans="1:5">
      <c r="A20" s="14" t="s">
        <v>36</v>
      </c>
      <c r="B20" s="14"/>
      <c r="C20" s="15"/>
      <c r="D20" s="15">
        <v>-917.79179965</v>
      </c>
      <c r="E20" s="14">
        <f t="shared" si="0"/>
        <v>0</v>
      </c>
    </row>
    <row r="21" spans="1:5">
      <c r="A21" s="14" t="s">
        <v>37</v>
      </c>
      <c r="B21" s="14"/>
      <c r="C21" s="15"/>
      <c r="D21" s="15">
        <v>-88.4114698</v>
      </c>
      <c r="E21" s="14">
        <f t="shared" si="0"/>
        <v>0</v>
      </c>
    </row>
    <row r="22" spans="1:5">
      <c r="A22" s="14" t="s">
        <v>38</v>
      </c>
      <c r="B22" s="14"/>
      <c r="C22" s="15"/>
      <c r="D22" s="15">
        <v>209.10535825</v>
      </c>
      <c r="E22" s="14">
        <f t="shared" si="0"/>
        <v>0</v>
      </c>
    </row>
    <row r="23" spans="1:5">
      <c r="A23" s="14" t="s">
        <v>39</v>
      </c>
      <c r="B23" s="14"/>
      <c r="C23" s="15"/>
      <c r="D23" s="15">
        <v>-141.040153</v>
      </c>
      <c r="E23" s="14">
        <f t="shared" si="0"/>
        <v>0</v>
      </c>
    </row>
    <row r="24" spans="1:5">
      <c r="A24" s="14" t="s">
        <v>40</v>
      </c>
      <c r="B24" s="14"/>
      <c r="C24" s="15"/>
      <c r="D24" s="15">
        <v>242.79284075</v>
      </c>
      <c r="E24" s="14">
        <f t="shared" si="0"/>
        <v>0</v>
      </c>
    </row>
    <row r="25" spans="1:5">
      <c r="A25" s="14" t="s">
        <v>41</v>
      </c>
      <c r="B25" s="14"/>
      <c r="C25" s="15"/>
      <c r="D25" s="15">
        <v>40.63409</v>
      </c>
      <c r="E25" s="14">
        <f t="shared" si="0"/>
        <v>0</v>
      </c>
    </row>
    <row r="26" spans="1:5">
      <c r="A26" s="14" t="s">
        <v>42</v>
      </c>
      <c r="B26" s="14"/>
      <c r="C26" s="15"/>
      <c r="D26" s="15">
        <v>67.63971095</v>
      </c>
      <c r="E26" s="14">
        <f t="shared" si="0"/>
        <v>0</v>
      </c>
    </row>
    <row r="27" spans="1:5">
      <c r="A27" s="14" t="s">
        <v>43</v>
      </c>
      <c r="B27" s="14"/>
      <c r="C27" s="15"/>
      <c r="D27" s="15">
        <v>319.50078975</v>
      </c>
      <c r="E27" s="14">
        <f t="shared" si="0"/>
        <v>0</v>
      </c>
    </row>
    <row r="28" spans="1:5">
      <c r="A28" t="s">
        <v>44</v>
      </c>
      <c r="B28">
        <v>138</v>
      </c>
      <c r="C28" s="16">
        <v>206.27972228</v>
      </c>
      <c r="D28" s="16">
        <v>27.6036503</v>
      </c>
      <c r="E28">
        <f t="shared" si="0"/>
        <v>1</v>
      </c>
    </row>
    <row r="29" spans="1:5">
      <c r="A29" t="s">
        <v>45</v>
      </c>
      <c r="B29">
        <v>30</v>
      </c>
      <c r="C29" s="16">
        <v>227.73365857</v>
      </c>
      <c r="D29" s="16">
        <v>526.16471515</v>
      </c>
      <c r="E29">
        <f t="shared" si="0"/>
        <v>1</v>
      </c>
    </row>
    <row r="30" spans="1:5">
      <c r="A30" t="s">
        <v>46</v>
      </c>
      <c r="B30">
        <v>119</v>
      </c>
      <c r="C30" s="16">
        <v>-456.70653408</v>
      </c>
      <c r="D30" s="16">
        <v>-17.86122</v>
      </c>
      <c r="E30">
        <f t="shared" si="0"/>
        <v>1</v>
      </c>
    </row>
    <row r="31" spans="1:5">
      <c r="A31" t="s">
        <v>47</v>
      </c>
      <c r="B31">
        <v>128</v>
      </c>
      <c r="C31" s="16">
        <v>-28.62731516</v>
      </c>
      <c r="D31" s="16">
        <v>182.15544705</v>
      </c>
      <c r="E31">
        <f t="shared" si="0"/>
        <v>1</v>
      </c>
    </row>
    <row r="32" spans="1:5">
      <c r="A32" t="s">
        <v>48</v>
      </c>
      <c r="B32">
        <v>180</v>
      </c>
      <c r="C32" s="16">
        <v>-195.41502305</v>
      </c>
      <c r="D32" s="16">
        <v>-126.372973</v>
      </c>
      <c r="E32">
        <f t="shared" si="0"/>
        <v>1</v>
      </c>
    </row>
    <row r="33" spans="1:5">
      <c r="A33" t="s">
        <v>49</v>
      </c>
      <c r="B33">
        <v>155</v>
      </c>
      <c r="C33" s="16">
        <v>-469.71297393</v>
      </c>
      <c r="D33" s="16">
        <v>-291.50587175</v>
      </c>
      <c r="E33">
        <f t="shared" si="0"/>
        <v>1</v>
      </c>
    </row>
    <row r="34" spans="1:5">
      <c r="A34" t="s">
        <v>50</v>
      </c>
      <c r="B34">
        <v>109</v>
      </c>
      <c r="C34" s="16">
        <v>-834.95142253</v>
      </c>
      <c r="D34" s="16">
        <v>-140.3183684</v>
      </c>
      <c r="E34">
        <f t="shared" si="0"/>
        <v>1</v>
      </c>
    </row>
    <row r="35" spans="1:5">
      <c r="A35" t="s">
        <v>51</v>
      </c>
      <c r="B35">
        <v>72</v>
      </c>
      <c r="C35" s="16">
        <v>-148.46723011</v>
      </c>
      <c r="D35" s="16">
        <v>-122.20154275</v>
      </c>
      <c r="E35">
        <f t="shared" si="0"/>
        <v>1</v>
      </c>
    </row>
    <row r="36" spans="1:5">
      <c r="A36" s="14" t="s">
        <v>52</v>
      </c>
      <c r="B36" s="14"/>
      <c r="C36" s="15"/>
      <c r="D36" s="15">
        <v>367.92700365</v>
      </c>
      <c r="E36" s="14">
        <f t="shared" si="0"/>
        <v>0</v>
      </c>
    </row>
    <row r="37" spans="1:5">
      <c r="A37" s="14" t="s">
        <v>53</v>
      </c>
      <c r="B37" s="14"/>
      <c r="C37" s="15"/>
      <c r="D37" s="15">
        <v>342.3786699</v>
      </c>
      <c r="E37" s="14">
        <f t="shared" si="0"/>
        <v>0</v>
      </c>
    </row>
    <row r="38" spans="1:5">
      <c r="A38" s="14" t="s">
        <v>54</v>
      </c>
      <c r="B38" s="14"/>
      <c r="C38" s="15"/>
      <c r="D38" s="15">
        <v>-3697.10185555</v>
      </c>
      <c r="E38" s="14">
        <f t="shared" si="0"/>
        <v>0</v>
      </c>
    </row>
    <row r="39" spans="1:5">
      <c r="A39" s="14" t="s">
        <v>55</v>
      </c>
      <c r="B39" s="14"/>
      <c r="C39" s="15"/>
      <c r="D39" s="15">
        <v>-430.8806094</v>
      </c>
      <c r="E39" s="14">
        <f t="shared" si="0"/>
        <v>0</v>
      </c>
    </row>
    <row r="40" spans="1:5">
      <c r="A40" t="s">
        <v>56</v>
      </c>
      <c r="B40">
        <v>84</v>
      </c>
      <c r="C40" s="16">
        <v>-643.18249727</v>
      </c>
      <c r="D40" s="16">
        <v>-1621.7065351</v>
      </c>
      <c r="E40">
        <f t="shared" si="0"/>
        <v>1</v>
      </c>
    </row>
    <row r="41" spans="1:5">
      <c r="A41" t="s">
        <v>57</v>
      </c>
      <c r="B41">
        <v>133</v>
      </c>
      <c r="C41" s="16">
        <v>-209.40770697</v>
      </c>
      <c r="D41" s="16">
        <v>-244.157343695</v>
      </c>
      <c r="E41">
        <f t="shared" si="0"/>
        <v>1</v>
      </c>
    </row>
    <row r="42" spans="1:5">
      <c r="A42" s="14" t="s">
        <v>58</v>
      </c>
      <c r="B42" s="14"/>
      <c r="C42" s="15"/>
      <c r="D42" s="15">
        <v>-239.6085614</v>
      </c>
      <c r="E42" s="14">
        <f t="shared" si="0"/>
        <v>0</v>
      </c>
    </row>
    <row r="43" spans="1:5">
      <c r="A43" s="14" t="s">
        <v>59</v>
      </c>
      <c r="B43" s="14"/>
      <c r="C43" s="15"/>
      <c r="D43" s="15">
        <v>-164.4870774</v>
      </c>
      <c r="E43" s="14">
        <f t="shared" si="0"/>
        <v>0</v>
      </c>
    </row>
    <row r="44" spans="1:5">
      <c r="A44" s="14" t="s">
        <v>60</v>
      </c>
      <c r="B44" s="14"/>
      <c r="C44" s="15"/>
      <c r="D44" s="15">
        <v>-14.5128105</v>
      </c>
      <c r="E44" s="14">
        <f t="shared" si="0"/>
        <v>0</v>
      </c>
    </row>
    <row r="45" spans="1:5">
      <c r="A45" s="14" t="s">
        <v>61</v>
      </c>
      <c r="B45" s="14"/>
      <c r="C45" s="15"/>
      <c r="D45" s="15">
        <v>24.5435738</v>
      </c>
      <c r="E45" s="14">
        <f t="shared" si="0"/>
        <v>0</v>
      </c>
    </row>
    <row r="46" spans="1:5">
      <c r="A46" s="14" t="s">
        <v>62</v>
      </c>
      <c r="B46" s="14"/>
      <c r="C46" s="15"/>
      <c r="D46" s="15">
        <v>-94.5374449</v>
      </c>
      <c r="E46" s="14">
        <f t="shared" si="0"/>
        <v>0</v>
      </c>
    </row>
    <row r="47" spans="1:5">
      <c r="A47" t="s">
        <v>63</v>
      </c>
      <c r="B47">
        <v>165</v>
      </c>
      <c r="C47" s="16">
        <v>-63.57367522</v>
      </c>
      <c r="D47" s="16">
        <v>105.9545777</v>
      </c>
      <c r="E47">
        <f t="shared" si="0"/>
        <v>1</v>
      </c>
    </row>
    <row r="48" spans="1:5">
      <c r="A48" s="14" t="s">
        <v>64</v>
      </c>
      <c r="B48" s="14"/>
      <c r="C48" s="15"/>
      <c r="D48" s="15">
        <v>-3.72495265</v>
      </c>
      <c r="E48" s="14">
        <f t="shared" si="0"/>
        <v>0</v>
      </c>
    </row>
    <row r="49" spans="1:5">
      <c r="A49" t="s">
        <v>65</v>
      </c>
      <c r="B49">
        <v>75</v>
      </c>
      <c r="C49" s="16">
        <v>-615.49953443</v>
      </c>
      <c r="D49" s="16">
        <v>-312.79345</v>
      </c>
      <c r="E49">
        <f t="shared" si="0"/>
        <v>1</v>
      </c>
    </row>
    <row r="50" spans="3:3">
      <c r="C50">
        <f>SUM(C19:C49)</f>
        <v>-3231.5305319</v>
      </c>
    </row>
    <row r="51" spans="1:1">
      <c r="A51" s="17" t="s">
        <v>66</v>
      </c>
    </row>
    <row r="52" spans="1:1">
      <c r="A52" s="18" t="s">
        <v>67</v>
      </c>
    </row>
    <row r="59" ht="63" customHeight="1"/>
  </sheetData>
  <mergeCells count="4">
    <mergeCell ref="A1:E1"/>
    <mergeCell ref="A5:E5"/>
    <mergeCell ref="A51:E51"/>
    <mergeCell ref="A52:E59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指标计算器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樾努ㄌ樾啈運</cp:lastModifiedBy>
  <dcterms:created xsi:type="dcterms:W3CDTF">2026-08-21T09:05:00Z</dcterms:created>
  <dcterms:modified xsi:type="dcterms:W3CDTF">2026-08-26T12:11:02Z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8DC71DD55E0F41C1A4A32E2CA3E94844_12</vt:lpwstr>
  </property>
  <property fmtid="{D5CDD505-2E9C-101B-9397-08002B2CF9AE}" pid="3" name="KSOProductBuildVer">
    <vt:lpwstr>2052-12.1.0.17133</vt:lpwstr>
  </property>
</Properties>
</file>