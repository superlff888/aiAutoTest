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xmlns:r="http://schemas.openxmlformats.org/officeDocument/2006/relationships" name="指标计算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8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theme="1"/>
      <sz val="18"/>
      <scheme val="minor"/>
    </font>
    <font>
      <name val="宋体"/>
      <charset val="134"/>
      <b val="1"/>
      <color rgb="FFFFFFFF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7" borderId="1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2" applyAlignment="1">
      <alignment vertical="center"/>
    </xf>
    <xf numFmtId="0" fontId="13" fillId="0" borderId="2" applyAlignment="1">
      <alignment vertical="center"/>
    </xf>
    <xf numFmtId="0" fontId="14" fillId="0" borderId="3" applyAlignment="1">
      <alignment vertical="center"/>
    </xf>
    <xf numFmtId="0" fontId="14" fillId="0" borderId="0" applyAlignment="1">
      <alignment vertical="center"/>
    </xf>
    <xf numFmtId="0" fontId="15" fillId="8" borderId="4" applyAlignment="1">
      <alignment vertical="center"/>
    </xf>
    <xf numFmtId="0" fontId="16" fillId="9" borderId="5" applyAlignment="1">
      <alignment vertical="center"/>
    </xf>
    <xf numFmtId="0" fontId="17" fillId="9" borderId="4" applyAlignment="1">
      <alignment vertical="center"/>
    </xf>
    <xf numFmtId="0" fontId="18" fillId="10" borderId="6" applyAlignment="1">
      <alignment vertical="center"/>
    </xf>
    <xf numFmtId="0" fontId="19" fillId="0" borderId="7" applyAlignment="1">
      <alignment vertical="center"/>
    </xf>
    <xf numFmtId="0" fontId="20" fillId="0" borderId="8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  <xf numFmtId="0" fontId="24" fillId="34" borderId="0" applyAlignment="1">
      <alignment vertical="center"/>
    </xf>
    <xf numFmtId="0" fontId="25" fillId="35" borderId="0" applyAlignment="1">
      <alignment vertical="center"/>
    </xf>
    <xf numFmtId="0" fontId="25" fillId="36" borderId="0" applyAlignment="1">
      <alignment vertical="center"/>
    </xf>
    <xf numFmtId="0" fontId="24" fillId="37" borderId="0" applyAlignment="1">
      <alignment vertical="center"/>
    </xf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3" fillId="4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left"/>
    </xf>
    <xf numFmtId="0" fontId="6" fillId="5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6" borderId="0" pivotButton="0" quotePrefix="0" xfId="0"/>
    <xf numFmtId="165" fontId="0" fillId="6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left"/>
    </xf>
    <xf numFmtId="0" fontId="0" fillId="38" borderId="0" pivotButton="0" quotePrefix="0" xfId="0"/>
    <xf numFmtId="165" fontId="0" fillId="38" borderId="0" pivotButton="0" quotePrefix="0" xfId="0"/>
    <xf numFmtId="165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tabSelected="1" topLeftCell="A5" workbookViewId="0">
      <selection activeCell="A5" sqref="A5:E5"/>
    </sheetView>
  </sheetViews>
  <sheetFormatPr baseColWidth="8" defaultColWidth="9" defaultRowHeight="13.5"/>
  <cols>
    <col width="63.75" customWidth="1" min="1" max="1"/>
    <col width="30.875" customWidth="1" min="2" max="2"/>
    <col width="16" customWidth="1" min="3" max="4"/>
    <col width="10" customWidth="1" min="5" max="5"/>
  </cols>
  <sheetData>
    <row r="1" ht="45" customHeight="1">
      <c r="A1" s="1" t="inlineStr">
        <is>
          <t>组合稳定性分布图 — 指标计算器(基于需求口径)</t>
        </is>
      </c>
    </row>
    <row r="2">
      <c r="A2" s="2" t="inlineStr">
        <is>
          <t>N = 策略模型数 × 负荷模型数 (12×15=180个组合)</t>
        </is>
      </c>
      <c r="B2" s="3" t="n">
        <v>240</v>
      </c>
    </row>
    <row r="3">
      <c r="A3" t="inlineStr">
        <is>
          <t>z = 置信系数 (95%取1.96，常用近似1)</t>
        </is>
      </c>
      <c r="B3" s="4" t="n">
        <v>1</v>
      </c>
    </row>
    <row r="4">
      <c r="A4" t="inlineStr">
        <is>
          <t>区间天数 D = len(dailyDataList) 完整区间日(含无数据日)，禁止用有实际收益的天数</t>
        </is>
      </c>
      <c r="B4" s="4" t="n">
        <v>31</v>
      </c>
      <c r="C4" s="4" t="inlineStr">
        <is>
          <t>← 覆盖率的分母</t>
        </is>
      </c>
    </row>
    <row r="5" ht="22.5" customHeight="1">
      <c r="A5" s="5" t="inlineStr">
        <is>
          <t>指标计算区(太乙-深度训练 × 太乙-统调负荷差)</t>
        </is>
      </c>
    </row>
    <row r="6">
      <c r="A6" s="6" t="inlineStr">
        <is>
          <t>有效天数 T</t>
        </is>
      </c>
      <c r="B6">
        <f>SUM(E19:E49)</f>
        <v/>
      </c>
      <c r="C6" t="inlineStr">
        <is>
          <t>策略收益≠0且非空、且实际收益数据存在的天数(考核数据与实际收益数据为两套数据,但存在性判定等价)</t>
        </is>
      </c>
      <c r="L6">
        <f>COUNTIF(B19:B49,"&gt;0")</f>
        <v/>
      </c>
    </row>
    <row r="7">
      <c r="A7" s="6" t="inlineStr">
        <is>
          <t>胜天数 W</t>
        </is>
      </c>
      <c r="B7">
        <f>SUMPRODUCT((C19:C49&gt;D19:D49)*(E19:E49=1))</f>
        <v/>
      </c>
      <c r="C7" t="inlineStr">
        <is>
          <t>当日策略收益&gt;实际收益(基准)的天数</t>
        </is>
      </c>
    </row>
    <row r="8">
      <c r="A8" s="7" t="inlineStr">
        <is>
          <t>平均排名 μ</t>
        </is>
      </c>
      <c r="B8">
        <f>IFERROR(ROUND(AVERAGE(B19:B49),1),"-")</f>
        <v/>
      </c>
      <c r="C8" t="inlineStr">
        <is>
          <t>仅统计有效天(B列非空;无效天r留空不参与μ)，需求口径下参与天数=T</t>
        </is>
      </c>
    </row>
    <row r="9">
      <c r="A9" s="7" t="inlineStr">
        <is>
          <t>排名波动 σ</t>
        </is>
      </c>
      <c r="B9">
        <f>IFERROR(ROUND(STDEV.P(B19:B49),1),"-")</f>
        <v/>
      </c>
      <c r="C9" t="inlineStr">
        <is>
          <t>总体标准差,仅统计有效天</t>
        </is>
      </c>
    </row>
    <row r="10">
      <c r="A10" s="6" t="inlineStr">
        <is>
          <t>topK</t>
        </is>
      </c>
      <c r="B10">
        <f>ROUND(B2*10%,0)</f>
        <v/>
      </c>
      <c r="C10" t="inlineStr">
        <is>
          <t>N×10%</t>
        </is>
      </c>
    </row>
    <row r="11">
      <c r="A11" s="7" t="inlineStr">
        <is>
          <t>前10%率</t>
        </is>
      </c>
      <c r="B11" s="18">
        <f t="array" ref="B11">IFERROR(SUMPRODUCT((B19:B49&gt;0)*(B19:B49&lt;=B10))/B6,"-")</f>
        <v/>
      </c>
      <c r="C11" t="inlineStr">
        <is>
          <t>排名≤topK 的天 ÷ 有效天数T(=参与天数)</t>
        </is>
      </c>
      <c r="F11" s="9">
        <f t="array" ref="F11">SUMPRODUCT((B19:B49&gt;0)*(B19:B49&lt;=B10))</f>
        <v/>
      </c>
    </row>
    <row r="12">
      <c r="A12" s="7" t="inlineStr">
        <is>
          <t>爆雷率</t>
        </is>
      </c>
      <c r="B12" s="18">
        <f t="array" ref="B12">IFERROR(SUMPRODUCT((B19:B49&gt;B2-B10))/B6,"-")</f>
        <v/>
      </c>
      <c r="C12" t="inlineStr">
        <is>
          <t>排名&gt; N−topK 的天 ÷ 有效天数T(=参与天数)</t>
        </is>
      </c>
    </row>
    <row r="13">
      <c r="A13" s="7" t="inlineStr">
        <is>
          <t>悲观排名（LCB）</t>
        </is>
      </c>
      <c r="B13">
        <f>IFERROR(ROUND(B8+B9*B3/SQRT(B6),1),"-")</f>
        <v/>
      </c>
      <c r="C13" t="inlineStr">
        <is>
          <t>μ+z·σ/√T(z=B3=1)，越小越好；对齐spot_review.js:879</t>
        </is>
      </c>
    </row>
    <row r="14">
      <c r="A14" s="7" t="inlineStr">
        <is>
          <t>胜率</t>
        </is>
      </c>
      <c r="B14" s="18">
        <f>IFERROR(B7/B6,"-")</f>
        <v/>
      </c>
      <c r="C14" t="inlineStr">
        <is>
          <t>W÷T</t>
        </is>
      </c>
    </row>
    <row r="15">
      <c r="A15" s="7" t="inlineStr">
        <is>
          <t>覆盖率</t>
        </is>
      </c>
      <c r="B15" s="18">
        <f>IFERROR(B6/B4,"-")</f>
        <v/>
      </c>
      <c r="C15" t="inlineStr">
        <is>
          <t>T÷区间天数D(B4)，分母不可用有实际收益的天数</t>
        </is>
      </c>
    </row>
    <row r="16">
      <c r="A16" s="7" t="inlineStr">
        <is>
          <t>综合评价标签</t>
        </is>
      </c>
      <c r="B16" s="19" t="inlineStr">
        <is>
          <t>稳定优秀</t>
        </is>
      </c>
    </row>
    <row r="17">
      <c r="A17" s="6" t="inlineStr">
        <is>
          <t>分位线与值</t>
        </is>
      </c>
      <c r="B17" s="20" t="inlineStr">
        <is>
          <t>P10(86.4)/P35(99.9)/P65(115.8)/P90(146.5)</t>
        </is>
      </c>
    </row>
    <row r="18">
      <c r="A18" s="12" t="inlineStr">
        <is>
          <t>日期</t>
        </is>
      </c>
      <c r="B18" s="12" t="inlineStr">
        <is>
          <t>每日排名 r</t>
        </is>
      </c>
      <c r="C18" s="12" t="inlineStr">
        <is>
          <t>策略收益(万)</t>
        </is>
      </c>
      <c r="D18" s="12" t="inlineStr">
        <is>
          <t>实际收益(万)</t>
        </is>
      </c>
      <c r="E18" s="12" t="inlineStr">
        <is>
          <t>有效天标志</t>
        </is>
      </c>
    </row>
    <row r="19">
      <c r="A19" s="21" t="inlineStr">
        <is>
          <t>2026-07-21</t>
        </is>
      </c>
      <c r="B19" s="21" t="n"/>
      <c r="C19" s="22" t="n"/>
      <c r="D19" s="22" t="n">
        <v>0.02097</v>
      </c>
      <c r="E19" s="21">
        <f>IF(AND(B19&lt;&gt;"",C19&lt;&gt;"",C19&lt;&gt;0,D19&lt;&gt;""),1,0)</f>
        <v/>
      </c>
    </row>
    <row r="20">
      <c r="A20" t="inlineStr">
        <is>
          <t>2026-07-22</t>
        </is>
      </c>
      <c r="B20" t="n">
        <v>22</v>
      </c>
      <c r="C20" s="23" t="n">
        <v>0.248575</v>
      </c>
      <c r="D20" s="23" t="n">
        <v>-0.091779</v>
      </c>
      <c r="E20">
        <f>IF(AND(B20&lt;&gt;"",C20&lt;&gt;"",C20&lt;&gt;0,D20&lt;&gt;""),1,0)</f>
        <v/>
      </c>
    </row>
    <row r="21">
      <c r="A21" s="21" t="inlineStr">
        <is>
          <t>2026-07-23</t>
        </is>
      </c>
      <c r="B21" s="21" t="n"/>
      <c r="C21" s="22" t="n"/>
      <c r="D21" s="22" t="n">
        <v>-0.008841</v>
      </c>
      <c r="E21" s="21">
        <f>IF(AND(B21&lt;&gt;"",C21&lt;&gt;"",C21&lt;&gt;0,D21&lt;&gt;""),1,0)</f>
        <v/>
      </c>
    </row>
    <row r="22">
      <c r="A22" t="inlineStr">
        <is>
          <t>2026-07-24</t>
        </is>
      </c>
      <c r="B22" t="n">
        <v>5</v>
      </c>
      <c r="C22" s="23" t="n">
        <v>0.05286</v>
      </c>
      <c r="D22" s="23" t="n">
        <v>0.020911</v>
      </c>
      <c r="E22">
        <f>IF(AND(B22&lt;&gt;"",C22&lt;&gt;"",C22&lt;&gt;0,D22&lt;&gt;""),1,0)</f>
        <v/>
      </c>
    </row>
    <row r="23">
      <c r="A23" t="inlineStr">
        <is>
          <t>2026-07-25</t>
        </is>
      </c>
      <c r="B23" t="n">
        <v>114</v>
      </c>
      <c r="C23" s="23" t="n">
        <v>-0.042138</v>
      </c>
      <c r="D23" s="23" t="n">
        <v>-0.014104</v>
      </c>
      <c r="E23">
        <f>IF(AND(B23&lt;&gt;"",C23&lt;&gt;"",C23&lt;&gt;0,D23&lt;&gt;""),1,0)</f>
        <v/>
      </c>
    </row>
    <row r="24">
      <c r="A24" t="inlineStr">
        <is>
          <t>2026-07-26</t>
        </is>
      </c>
      <c r="B24" t="n">
        <v>15</v>
      </c>
      <c r="C24" s="23" t="n">
        <v>0.036512</v>
      </c>
      <c r="D24" s="23" t="n">
        <v>0.024279</v>
      </c>
      <c r="E24">
        <f>IF(AND(B24&lt;&gt;"",C24&lt;&gt;"",C24&lt;&gt;0,D24&lt;&gt;""),1,0)</f>
        <v/>
      </c>
    </row>
    <row r="25">
      <c r="A25" t="inlineStr">
        <is>
          <t>2026-07-27</t>
        </is>
      </c>
      <c r="B25" t="n">
        <v>65</v>
      </c>
      <c r="C25" s="23" t="n">
        <v>0.033991</v>
      </c>
      <c r="D25" s="23" t="n">
        <v>0.004063</v>
      </c>
      <c r="E25">
        <f>IF(AND(B25&lt;&gt;"",C25&lt;&gt;"",C25&lt;&gt;0,D25&lt;&gt;""),1,0)</f>
        <v/>
      </c>
    </row>
    <row r="26">
      <c r="A26" t="inlineStr">
        <is>
          <t>2026-07-28</t>
        </is>
      </c>
      <c r="B26" t="n">
        <v>27</v>
      </c>
      <c r="C26" s="23" t="n">
        <v>0.06651</v>
      </c>
      <c r="D26" s="23" t="n">
        <v>0.006764</v>
      </c>
      <c r="E26">
        <f>IF(AND(B26&lt;&gt;"",C26&lt;&gt;"",C26&lt;&gt;0,D26&lt;&gt;""),1,0)</f>
        <v/>
      </c>
    </row>
    <row r="27">
      <c r="A27" t="inlineStr">
        <is>
          <t>2026-07-29</t>
        </is>
      </c>
      <c r="B27" t="n">
        <v>69</v>
      </c>
      <c r="C27" s="23" t="n">
        <v>0.024909</v>
      </c>
      <c r="D27" s="23" t="n">
        <v>0.03195</v>
      </c>
      <c r="E27">
        <f>IF(AND(B27&lt;&gt;"",C27&lt;&gt;"",C27&lt;&gt;0,D27&lt;&gt;""),1,0)</f>
        <v/>
      </c>
    </row>
    <row r="28">
      <c r="A28" t="inlineStr">
        <is>
          <t>2026-07-30</t>
        </is>
      </c>
      <c r="B28" t="n">
        <v>27</v>
      </c>
      <c r="C28" s="23" t="n">
        <v>0.043321</v>
      </c>
      <c r="D28" s="23" t="n">
        <v>0.00276</v>
      </c>
      <c r="E28">
        <f>IF(AND(B28&lt;&gt;"",C28&lt;&gt;"",C28&lt;&gt;0,D28&lt;&gt;""),1,0)</f>
        <v/>
      </c>
    </row>
    <row r="29">
      <c r="A29" t="inlineStr">
        <is>
          <t>2026-07-31</t>
        </is>
      </c>
      <c r="B29" t="n">
        <v>97</v>
      </c>
      <c r="C29" s="23" t="n">
        <v>0.037533</v>
      </c>
      <c r="D29" s="23" t="n">
        <v>0.052616</v>
      </c>
      <c r="E29">
        <f>IF(AND(B29&lt;&gt;"",C29&lt;&gt;"",C29&lt;&gt;0,D29&lt;&gt;""),1,0)</f>
        <v/>
      </c>
    </row>
    <row r="30">
      <c r="A30" t="inlineStr">
        <is>
          <t>2026-08-01</t>
        </is>
      </c>
      <c r="B30" t="n">
        <v>14</v>
      </c>
      <c r="C30" s="23" t="n">
        <v>0.01502</v>
      </c>
      <c r="D30" s="23" t="n">
        <v>-0.001786</v>
      </c>
      <c r="E30">
        <f>IF(AND(B30&lt;&gt;"",C30&lt;&gt;"",C30&lt;&gt;0,D30&lt;&gt;""),1,0)</f>
        <v/>
      </c>
    </row>
    <row r="31">
      <c r="A31" t="inlineStr">
        <is>
          <t>2026-08-02</t>
        </is>
      </c>
      <c r="B31" t="n">
        <v>46</v>
      </c>
      <c r="C31" s="23" t="n">
        <v>0.032258</v>
      </c>
      <c r="D31" s="23" t="n">
        <v>0.018216</v>
      </c>
      <c r="E31">
        <f>IF(AND(B31&lt;&gt;"",C31&lt;&gt;"",C31&lt;&gt;0,D31&lt;&gt;""),1,0)</f>
        <v/>
      </c>
    </row>
    <row r="32">
      <c r="A32" t="inlineStr">
        <is>
          <t>2026-08-03</t>
        </is>
      </c>
      <c r="B32" t="n">
        <v>163</v>
      </c>
      <c r="C32" s="23" t="n">
        <v>-0.022493</v>
      </c>
      <c r="D32" s="23" t="n">
        <v>-0.012637</v>
      </c>
      <c r="E32">
        <f>IF(AND(B32&lt;&gt;"",C32&lt;&gt;"",C32&lt;&gt;0,D32&lt;&gt;""),1,0)</f>
        <v/>
      </c>
    </row>
    <row r="33">
      <c r="A33" t="inlineStr">
        <is>
          <t>2026-08-04</t>
        </is>
      </c>
      <c r="B33" t="n">
        <v>54</v>
      </c>
      <c r="C33" s="23" t="n">
        <v>-0.041927</v>
      </c>
      <c r="D33" s="23" t="n">
        <v>-0.029151</v>
      </c>
      <c r="E33">
        <f>IF(AND(B33&lt;&gt;"",C33&lt;&gt;"",C33&lt;&gt;0,D33&lt;&gt;""),1,0)</f>
        <v/>
      </c>
    </row>
    <row r="34">
      <c r="A34" t="inlineStr">
        <is>
          <t>2026-08-05</t>
        </is>
      </c>
      <c r="B34" t="n">
        <v>45</v>
      </c>
      <c r="C34" s="23" t="n">
        <v>-0.007786</v>
      </c>
      <c r="D34" s="23" t="n">
        <v>-0.014032</v>
      </c>
      <c r="E34">
        <f>IF(AND(B34&lt;&gt;"",C34&lt;&gt;"",C34&lt;&gt;0,D34&lt;&gt;""),1,0)</f>
        <v/>
      </c>
    </row>
    <row r="35">
      <c r="A35" t="inlineStr">
        <is>
          <t>2026-08-06</t>
        </is>
      </c>
      <c r="B35" t="n">
        <v>38</v>
      </c>
      <c r="C35" s="23" t="n">
        <v>-0.023333</v>
      </c>
      <c r="D35" s="23" t="n">
        <v>-0.01222</v>
      </c>
      <c r="E35">
        <f>IF(AND(B35&lt;&gt;"",C35&lt;&gt;"",C35&lt;&gt;0,D35&lt;&gt;""),1,0)</f>
        <v/>
      </c>
    </row>
    <row r="36">
      <c r="A36" t="inlineStr">
        <is>
          <t>2026-08-07</t>
        </is>
      </c>
      <c r="B36" t="n">
        <v>18</v>
      </c>
      <c r="C36" s="23" t="n">
        <v>0.044598</v>
      </c>
      <c r="D36" s="23" t="n">
        <v>0.036793</v>
      </c>
      <c r="E36">
        <f>IF(AND(B36&lt;&gt;"",C36&lt;&gt;"",C36&lt;&gt;0,D36&lt;&gt;""),1,0)</f>
        <v/>
      </c>
    </row>
    <row r="37">
      <c r="A37" t="inlineStr">
        <is>
          <t>2026-08-08</t>
        </is>
      </c>
      <c r="B37" t="n">
        <v>3</v>
      </c>
      <c r="C37" s="23" t="n">
        <v>0.096178</v>
      </c>
      <c r="D37" s="23" t="n">
        <v>0.034238</v>
      </c>
      <c r="E37">
        <f>IF(AND(B37&lt;&gt;"",C37&lt;&gt;"",C37&lt;&gt;0,D37&lt;&gt;""),1,0)</f>
        <v/>
      </c>
    </row>
    <row r="38">
      <c r="A38" t="inlineStr">
        <is>
          <t>2026-08-09</t>
        </is>
      </c>
      <c r="B38" t="n">
        <v>107</v>
      </c>
      <c r="C38" s="23" t="n">
        <v>-0.110417</v>
      </c>
      <c r="D38" s="23" t="n">
        <v>-0.36971</v>
      </c>
      <c r="E38">
        <f>IF(AND(B38&lt;&gt;"",C38&lt;&gt;"",C38&lt;&gt;0,D38&lt;&gt;""),1,0)</f>
        <v/>
      </c>
    </row>
    <row r="39">
      <c r="A39" t="inlineStr">
        <is>
          <t>2026-08-10</t>
        </is>
      </c>
      <c r="B39" t="n">
        <v>85</v>
      </c>
      <c r="C39" s="23" t="n">
        <v>-0.079808</v>
      </c>
      <c r="D39" s="23" t="n">
        <v>-0.043088</v>
      </c>
      <c r="E39">
        <f>IF(AND(B39&lt;&gt;"",C39&lt;&gt;"",C39&lt;&gt;0,D39&lt;&gt;""),1,0)</f>
        <v/>
      </c>
    </row>
    <row r="40">
      <c r="A40" t="inlineStr">
        <is>
          <t>2026-08-11</t>
        </is>
      </c>
      <c r="B40" t="n">
        <v>65</v>
      </c>
      <c r="C40" s="23" t="n">
        <v>-0.05669</v>
      </c>
      <c r="D40" s="23" t="n">
        <v>-0.162171</v>
      </c>
      <c r="E40">
        <f>IF(AND(B40&lt;&gt;"",C40&lt;&gt;"",C40&lt;&gt;0,D40&lt;&gt;""),1,0)</f>
        <v/>
      </c>
    </row>
    <row r="41">
      <c r="A41" t="inlineStr">
        <is>
          <t>2026-08-12</t>
        </is>
      </c>
      <c r="B41" t="n">
        <v>50</v>
      </c>
      <c r="C41" s="23" t="n">
        <v>0.003452</v>
      </c>
      <c r="D41" s="23" t="n">
        <v>-0.024416</v>
      </c>
      <c r="E41">
        <f>IF(AND(B41&lt;&gt;"",C41&lt;&gt;"",C41&lt;&gt;0,D41&lt;&gt;""),1,0)</f>
        <v/>
      </c>
    </row>
    <row r="42">
      <c r="A42" t="inlineStr">
        <is>
          <t>2026-08-13</t>
        </is>
      </c>
      <c r="B42" t="n">
        <v>66</v>
      </c>
      <c r="C42" s="23" t="n">
        <v>-0.068047</v>
      </c>
      <c r="D42" s="23" t="n">
        <v>-0.023961</v>
      </c>
      <c r="E42">
        <f>IF(AND(B42&lt;&gt;"",C42&lt;&gt;"",C42&lt;&gt;0,D42&lt;&gt;""),1,0)</f>
        <v/>
      </c>
    </row>
    <row r="43">
      <c r="A43" s="21" t="inlineStr">
        <is>
          <t>2026-08-14</t>
        </is>
      </c>
      <c r="B43" s="21" t="n"/>
      <c r="C43" s="22" t="n"/>
      <c r="D43" s="22" t="n">
        <v>-0.016449</v>
      </c>
      <c r="E43" s="21">
        <f>IF(AND(B43&lt;&gt;"",C43&lt;&gt;"",C43&lt;&gt;0,D43&lt;&gt;""),1,0)</f>
        <v/>
      </c>
    </row>
    <row r="44">
      <c r="A44" s="21" t="inlineStr">
        <is>
          <t>2026-08-15</t>
        </is>
      </c>
      <c r="B44" s="21" t="n"/>
      <c r="C44" s="22" t="n"/>
      <c r="D44" s="22" t="n">
        <v>-0.001451</v>
      </c>
      <c r="E44" s="21">
        <f>IF(AND(B44&lt;&gt;"",C44&lt;&gt;"",C44&lt;&gt;0,D44&lt;&gt;""),1,0)</f>
        <v/>
      </c>
    </row>
    <row r="45">
      <c r="A45" s="21" t="inlineStr">
        <is>
          <t>2026-08-16</t>
        </is>
      </c>
      <c r="B45" s="21" t="n"/>
      <c r="C45" s="22" t="n"/>
      <c r="D45" s="22" t="n">
        <v>0.002454</v>
      </c>
      <c r="E45" s="21">
        <f>IF(AND(B45&lt;&gt;"",C45&lt;&gt;"",C45&lt;&gt;0,D45&lt;&gt;""),1,0)</f>
        <v/>
      </c>
    </row>
    <row r="46">
      <c r="A46" s="21" t="inlineStr">
        <is>
          <t>2026-08-17</t>
        </is>
      </c>
      <c r="B46" s="21" t="n"/>
      <c r="C46" s="22" t="n"/>
      <c r="D46" s="22" t="n">
        <v>-0.009454000000000001</v>
      </c>
      <c r="E46" s="21">
        <f>IF(AND(B46&lt;&gt;"",C46&lt;&gt;"",C46&lt;&gt;0,D46&lt;&gt;""),1,0)</f>
        <v/>
      </c>
    </row>
    <row r="47">
      <c r="A47" t="inlineStr">
        <is>
          <t>2026-08-18</t>
        </is>
      </c>
      <c r="B47" t="n">
        <v>54</v>
      </c>
      <c r="C47" s="23" t="n">
        <v>-0.000507</v>
      </c>
      <c r="D47" s="23" t="n">
        <v>0.010595</v>
      </c>
      <c r="E47">
        <f>IF(AND(B47&lt;&gt;"",C47&lt;&gt;"",C47&lt;&gt;0,D47&lt;&gt;""),1,0)</f>
        <v/>
      </c>
    </row>
    <row r="48">
      <c r="A48" t="inlineStr">
        <is>
          <t>2026-08-19</t>
        </is>
      </c>
      <c r="B48" t="n">
        <v>77</v>
      </c>
      <c r="C48" s="23" t="n">
        <v>-0.000532</v>
      </c>
      <c r="D48" s="23" t="n">
        <v>-0.000372</v>
      </c>
      <c r="E48">
        <f>IF(AND(B48&lt;&gt;"",C48&lt;&gt;"",C48&lt;&gt;0,D48&lt;&gt;""),1,0)</f>
        <v/>
      </c>
    </row>
    <row r="49">
      <c r="A49" t="inlineStr">
        <is>
          <t>2026-08-20</t>
        </is>
      </c>
      <c r="B49" t="n">
        <v>90</v>
      </c>
      <c r="C49" s="23" t="n">
        <v>-0.082468</v>
      </c>
      <c r="D49" s="23" t="n">
        <v>-0.031279</v>
      </c>
      <c r="E49">
        <f>IF(AND(B49&lt;&gt;"",C49&lt;&gt;"",C49&lt;&gt;0,D49&lt;&gt;""),1,0)</f>
        <v/>
      </c>
    </row>
    <row r="51">
      <c r="A51" s="16" t="inlineStr">
        <is>
          <t>口径说明</t>
        </is>
      </c>
    </row>
    <row r="52">
      <c r="A52" s="17" t="inlineStr">
        <is>
          <t>1. 有效天数=策略收益≠0且非空、且实际收益数据存在的天数(考核数据与实际收益数据为两套数据,但存在性判定等价)。无效天=策略收益为空/0，或实际收益(考核)数据缺失。
2. 每日排名参与口径=有效天(即参与天数=T)；当日参与组合按策略收益降序稳定排序，名次=位置序号，并列按报文顺序取相邻名次；无效天(如收益缺失日/无实际收益日)不参与排名、r留空。
3. 无效天示例(高亮行19-46)：2026-07-21(策略收益键缺失)；2026-07-23(策略收益键缺失)；2026-08-14(策略收益键缺失)；2026-08-15(策略收益键缺失)；2026-08-16(策略收益键缺失)；2026-08-17(策略收益键缺失)
4. 区间天数D(B4)=len(dailyDataList)=31，覆盖率分母=D；本表有实际收益的天数A=31，本区间D=A无缺实际收益日
5. 胜天=当日策略收益&gt;实际收益(基准)；胜率=W÷T。
6. σ为总体标准差STDEV.P；μ/σ仅统计有效天(B列非空;参与天数=T)；LCB(悲观排名)=μ+z·σ/√T(z=B3=1)，越小越好(对齐前端879行)。
7. 修改B2(组合总数)、B3(z)、B4(区间天数D)后所有指标自动重算；数据区最多31行。
8. 本表A-D列取自真实报文组合“太乙-深度训练 × 太乙-统调负荷差”(2026-07-21~2026-08-20)，C/D列=报文原值÷10000(单位:万)；B列每日排名按requirement口径计算(当日收益降序、并列按报文顺序取相邻名次)；报文基准validDays=25/winDays=14/winRate=0.5600/coverage=0.8065</t>
        </is>
      </c>
    </row>
    <row r="53"/>
    <row r="54"/>
    <row r="55"/>
    <row r="56"/>
    <row r="57"/>
    <row r="58"/>
    <row r="59" ht="63" customHeight="1"/>
  </sheetData>
  <mergeCells count="4">
    <mergeCell ref="A51:E51"/>
    <mergeCell ref="A1:E1"/>
    <mergeCell ref="A52:E59"/>
    <mergeCell ref="A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2026-08-21T09:05:00Z</dcterms:created>
  <dcterms:modified xmlns:dcterms="http://purl.org/dc/terms/" xmlns:xsi="http://www.w3.org/2001/XMLSchema-instance" xsi:type="dcterms:W3CDTF">2026-08-26T09:09:34Z</dcterms:modified>
  <cp:lastModifiedBy>樾努ㄌ樾啈運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8DC71DD55E0F41C1A4A32E2CA3E94844_12</vt:lpwstr>
  </property>
  <property name="KSOProductBuildVer" fmtid="{D5CDD505-2E9C-101B-9397-08002B2CF9AE}" pid="3">
    <vt:lpwstr xmlns:vt="http://schemas.openxmlformats.org/officeDocument/2006/docPropsVTypes">2052-12.1.0.17133</vt:lpwstr>
  </property>
</Properties>
</file>